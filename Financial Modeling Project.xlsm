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lhakpark/Downloads/TSC/project/"/>
    </mc:Choice>
  </mc:AlternateContent>
  <xr:revisionPtr revIDLastSave="0" documentId="13_ncr:1_{41ED4FDC-BEA6-A444-BD0E-AC9373B60D66}" xr6:coauthVersionLast="45" xr6:coauthVersionMax="45" xr10:uidLastSave="{00000000-0000-0000-0000-000000000000}"/>
  <bookViews>
    <workbookView xWindow="0" yWindow="500" windowWidth="33600" windowHeight="18920" activeTab="1" xr2:uid="{00000000-000D-0000-FFFF-FFFF00000000}"/>
  </bookViews>
  <sheets>
    <sheet name="About" sheetId="11" r:id="rId1"/>
    <sheet name="Inputs" sheetId="10" r:id="rId2"/>
    <sheet name="Model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9" i="1" l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N38" i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L22" i="1"/>
  <c r="K22" i="1"/>
  <c r="J22" i="1"/>
  <c r="I22" i="1"/>
  <c r="H22" i="1"/>
  <c r="O37" i="1"/>
  <c r="P37" i="1" s="1"/>
  <c r="N37" i="1"/>
  <c r="N35" i="1"/>
  <c r="O35" i="1" s="1"/>
  <c r="P35" i="1" s="1"/>
  <c r="N34" i="1"/>
  <c r="L37" i="1"/>
  <c r="K37" i="1"/>
  <c r="I37" i="1"/>
  <c r="H37" i="1"/>
  <c r="L35" i="1"/>
  <c r="L34" i="1"/>
  <c r="K34" i="1"/>
  <c r="I34" i="1"/>
  <c r="N6" i="1"/>
  <c r="O31" i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M6" i="1"/>
  <c r="M8" i="1" s="1"/>
  <c r="J37" i="1"/>
  <c r="K35" i="1"/>
  <c r="J35" i="1"/>
  <c r="I35" i="1"/>
  <c r="H35" i="1"/>
  <c r="J34" i="1"/>
  <c r="H34" i="1"/>
  <c r="I32" i="1"/>
  <c r="L31" i="1"/>
  <c r="K31" i="1"/>
  <c r="J31" i="1"/>
  <c r="I31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K15" i="1"/>
  <c r="K36" i="1" s="1"/>
  <c r="J15" i="1"/>
  <c r="J36" i="1" s="1"/>
  <c r="I15" i="1"/>
  <c r="I36" i="1" s="1"/>
  <c r="H15" i="1"/>
  <c r="H36" i="1" s="1"/>
  <c r="L12" i="1"/>
  <c r="M12" i="1" s="1"/>
  <c r="N12" i="1" s="1"/>
  <c r="O12" i="1" s="1"/>
  <c r="P12" i="1" s="1"/>
  <c r="Q12" i="1" s="1"/>
  <c r="K12" i="1"/>
  <c r="K33" i="1" s="1"/>
  <c r="J12" i="1"/>
  <c r="J33" i="1" s="1"/>
  <c r="I12" i="1"/>
  <c r="I33" i="1" s="1"/>
  <c r="H12" i="1"/>
  <c r="H33" i="1" s="1"/>
  <c r="L11" i="1"/>
  <c r="M11" i="1" s="1"/>
  <c r="K11" i="1"/>
  <c r="K32" i="1" s="1"/>
  <c r="J11" i="1"/>
  <c r="J18" i="1" s="1"/>
  <c r="J20" i="1" s="1"/>
  <c r="J38" i="1" s="1"/>
  <c r="I11" i="1"/>
  <c r="H11" i="1"/>
  <c r="H32" i="1" s="1"/>
  <c r="L8" i="1"/>
  <c r="K8" i="1"/>
  <c r="J8" i="1"/>
  <c r="I8" i="1"/>
  <c r="H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N22" i="1" l="1"/>
  <c r="J32" i="1"/>
  <c r="N16" i="1"/>
  <c r="L33" i="1"/>
  <c r="M14" i="1"/>
  <c r="M22" i="1"/>
  <c r="N11" i="1"/>
  <c r="Q35" i="1"/>
  <c r="R35" i="1" s="1"/>
  <c r="L32" i="1"/>
  <c r="N13" i="1"/>
  <c r="N14" i="1"/>
  <c r="L36" i="1"/>
  <c r="M16" i="1"/>
  <c r="M13" i="1"/>
  <c r="O34" i="1"/>
  <c r="P34" i="1" s="1"/>
  <c r="O6" i="1"/>
  <c r="O22" i="1" s="1"/>
  <c r="H38" i="1"/>
  <c r="N8" i="1"/>
  <c r="Q37" i="1"/>
  <c r="I18" i="1"/>
  <c r="I20" i="1" s="1"/>
  <c r="I38" i="1" s="1"/>
  <c r="K18" i="1"/>
  <c r="K20" i="1" s="1"/>
  <c r="L18" i="1"/>
  <c r="L20" i="1" s="1"/>
  <c r="J24" i="1"/>
  <c r="H18" i="1"/>
  <c r="H20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M18" i="1" l="1"/>
  <c r="M20" i="1" s="1"/>
  <c r="M24" i="1" s="1"/>
  <c r="P6" i="1"/>
  <c r="P22" i="1" s="1"/>
  <c r="O13" i="1"/>
  <c r="O8" i="1"/>
  <c r="O16" i="1"/>
  <c r="O14" i="1"/>
  <c r="O11" i="1"/>
  <c r="N18" i="1"/>
  <c r="N20" i="1" s="1"/>
  <c r="N24" i="1" s="1"/>
  <c r="R37" i="1"/>
  <c r="Q34" i="1"/>
  <c r="S35" i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P8" i="1" l="1"/>
  <c r="Q6" i="1"/>
  <c r="Q16" i="1" s="1"/>
  <c r="P16" i="1"/>
  <c r="P14" i="1"/>
  <c r="P13" i="1"/>
  <c r="P11" i="1"/>
  <c r="O18" i="1"/>
  <c r="O20" i="1" s="1"/>
  <c r="O24" i="1" s="1"/>
  <c r="R34" i="1"/>
  <c r="T35" i="1"/>
  <c r="S37" i="1"/>
  <c r="H24" i="1"/>
  <c r="H26" i="1" s="1"/>
  <c r="I26" i="1" s="1"/>
  <c r="J26" i="1" s="1"/>
  <c r="K26" i="1" s="1"/>
  <c r="L24" i="1"/>
  <c r="L38" i="1"/>
  <c r="R6" i="1" l="1"/>
  <c r="R16" i="1" s="1"/>
  <c r="Q8" i="1"/>
  <c r="Q14" i="1"/>
  <c r="Q13" i="1"/>
  <c r="Q22" i="1"/>
  <c r="Q11" i="1"/>
  <c r="P18" i="1"/>
  <c r="P20" i="1" s="1"/>
  <c r="P24" i="1" s="1"/>
  <c r="R22" i="1"/>
  <c r="R14" i="1"/>
  <c r="S34" i="1"/>
  <c r="R13" i="1"/>
  <c r="T37" i="1"/>
  <c r="U35" i="1"/>
  <c r="L26" i="1"/>
  <c r="M26" i="1" s="1"/>
  <c r="N26" i="1" s="1"/>
  <c r="O26" i="1" s="1"/>
  <c r="S6" i="1"/>
  <c r="S16" i="1" s="1"/>
  <c r="R8" i="1"/>
  <c r="P26" i="1" l="1"/>
  <c r="R11" i="1"/>
  <c r="Q18" i="1"/>
  <c r="Q20" i="1" s="1"/>
  <c r="Q24" i="1" s="1"/>
  <c r="S22" i="1"/>
  <c r="S14" i="1"/>
  <c r="T34" i="1"/>
  <c r="S13" i="1"/>
  <c r="V35" i="1"/>
  <c r="U37" i="1"/>
  <c r="S8" i="1"/>
  <c r="T6" i="1"/>
  <c r="T16" i="1" s="1"/>
  <c r="Q26" i="1" l="1"/>
  <c r="T22" i="1"/>
  <c r="T14" i="1"/>
  <c r="S11" i="1"/>
  <c r="R18" i="1"/>
  <c r="R20" i="1" s="1"/>
  <c r="R24" i="1" s="1"/>
  <c r="V37" i="1"/>
  <c r="W35" i="1"/>
  <c r="U34" i="1"/>
  <c r="T13" i="1"/>
  <c r="T8" i="1"/>
  <c r="U6" i="1"/>
  <c r="U16" i="1" s="1"/>
  <c r="R26" i="1" l="1"/>
  <c r="U22" i="1"/>
  <c r="U14" i="1"/>
  <c r="T11" i="1"/>
  <c r="S18" i="1"/>
  <c r="S20" i="1" s="1"/>
  <c r="S24" i="1" s="1"/>
  <c r="S26" i="1" s="1"/>
  <c r="U13" i="1"/>
  <c r="V34" i="1"/>
  <c r="W37" i="1"/>
  <c r="X35" i="1"/>
  <c r="V6" i="1"/>
  <c r="V16" i="1" s="1"/>
  <c r="U8" i="1"/>
  <c r="U11" i="1" l="1"/>
  <c r="T18" i="1"/>
  <c r="T20" i="1" s="1"/>
  <c r="T24" i="1" s="1"/>
  <c r="T26" i="1" s="1"/>
  <c r="V22" i="1"/>
  <c r="V14" i="1"/>
  <c r="Y35" i="1"/>
  <c r="X37" i="1"/>
  <c r="W34" i="1"/>
  <c r="V13" i="1"/>
  <c r="V8" i="1"/>
  <c r="W6" i="1"/>
  <c r="W22" i="1" l="1"/>
  <c r="W14" i="1"/>
  <c r="W16" i="1"/>
  <c r="V11" i="1"/>
  <c r="U18" i="1"/>
  <c r="U20" i="1" s="1"/>
  <c r="U24" i="1" s="1"/>
  <c r="U26" i="1" s="1"/>
  <c r="W13" i="1"/>
  <c r="X34" i="1"/>
  <c r="Y37" i="1"/>
  <c r="Z35" i="1"/>
  <c r="W8" i="1"/>
  <c r="X6" i="1"/>
  <c r="X16" i="1" s="1"/>
  <c r="X22" i="1" l="1"/>
  <c r="X14" i="1"/>
  <c r="W11" i="1"/>
  <c r="V18" i="1"/>
  <c r="V20" i="1" s="1"/>
  <c r="V24" i="1" s="1"/>
  <c r="V26" i="1" s="1"/>
  <c r="AA35" i="1"/>
  <c r="Z37" i="1"/>
  <c r="X13" i="1"/>
  <c r="Y34" i="1"/>
  <c r="Y6" i="1"/>
  <c r="X8" i="1"/>
  <c r="Y22" i="1" l="1"/>
  <c r="Y14" i="1"/>
  <c r="X11" i="1"/>
  <c r="W18" i="1"/>
  <c r="W20" i="1" s="1"/>
  <c r="W24" i="1" s="1"/>
  <c r="W26" i="1" s="1"/>
  <c r="Y16" i="1"/>
  <c r="AB35" i="1"/>
  <c r="Y13" i="1"/>
  <c r="Z34" i="1"/>
  <c r="AA37" i="1"/>
  <c r="Z6" i="1"/>
  <c r="Y8" i="1"/>
  <c r="Z22" i="1" l="1"/>
  <c r="Z14" i="1"/>
  <c r="Z16" i="1"/>
  <c r="Y11" i="1"/>
  <c r="X18" i="1"/>
  <c r="X20" i="1" s="1"/>
  <c r="X24" i="1" s="1"/>
  <c r="X26" i="1" s="1"/>
  <c r="AB37" i="1"/>
  <c r="AA34" i="1"/>
  <c r="Z13" i="1"/>
  <c r="AC35" i="1"/>
  <c r="AA6" i="1"/>
  <c r="Z8" i="1"/>
  <c r="AA22" i="1" l="1"/>
  <c r="AA14" i="1"/>
  <c r="Z11" i="1"/>
  <c r="Y18" i="1"/>
  <c r="Y20" i="1" s="1"/>
  <c r="Y24" i="1" s="1"/>
  <c r="Y26" i="1" s="1"/>
  <c r="AA16" i="1"/>
  <c r="AB34" i="1"/>
  <c r="AA13" i="1"/>
  <c r="AD35" i="1"/>
  <c r="AC37" i="1"/>
  <c r="AA8" i="1"/>
  <c r="AB6" i="1"/>
  <c r="AB22" i="1" l="1"/>
  <c r="AB14" i="1"/>
  <c r="AB16" i="1"/>
  <c r="AA11" i="1"/>
  <c r="Z18" i="1"/>
  <c r="Z20" i="1" s="1"/>
  <c r="Z24" i="1" s="1"/>
  <c r="Z26" i="1" s="1"/>
  <c r="AD37" i="1"/>
  <c r="AE35" i="1"/>
  <c r="AC34" i="1"/>
  <c r="AB13" i="1"/>
  <c r="AB8" i="1"/>
  <c r="AC6" i="1"/>
  <c r="AC16" i="1" s="1"/>
  <c r="AC22" i="1" l="1"/>
  <c r="AC14" i="1"/>
  <c r="AB11" i="1"/>
  <c r="AA18" i="1"/>
  <c r="AA20" i="1" s="1"/>
  <c r="AA24" i="1" s="1"/>
  <c r="AA26" i="1" s="1"/>
  <c r="AF35" i="1"/>
  <c r="AC13" i="1"/>
  <c r="AD34" i="1"/>
  <c r="AE37" i="1"/>
  <c r="AD6" i="1"/>
  <c r="AC8" i="1"/>
  <c r="AD22" i="1" l="1"/>
  <c r="AD14" i="1"/>
  <c r="AB18" i="1"/>
  <c r="AB20" i="1" s="1"/>
  <c r="AB24" i="1" s="1"/>
  <c r="AB26" i="1" s="1"/>
  <c r="AC11" i="1"/>
  <c r="AD16" i="1"/>
  <c r="AF37" i="1"/>
  <c r="AG35" i="1"/>
  <c r="AD13" i="1"/>
  <c r="AE34" i="1"/>
  <c r="AD8" i="1"/>
  <c r="AE6" i="1"/>
  <c r="AE16" i="1" s="1"/>
  <c r="AD11" i="1" l="1"/>
  <c r="AC18" i="1"/>
  <c r="AC20" i="1" s="1"/>
  <c r="AC24" i="1" s="1"/>
  <c r="AC26" i="1" s="1"/>
  <c r="AE22" i="1"/>
  <c r="AE14" i="1"/>
  <c r="AE13" i="1"/>
  <c r="AF34" i="1"/>
  <c r="AH35" i="1"/>
  <c r="AG37" i="1"/>
  <c r="AF6" i="1"/>
  <c r="AE8" i="1"/>
  <c r="AF22" i="1" l="1"/>
  <c r="AF14" i="1"/>
  <c r="AE11" i="1"/>
  <c r="AD18" i="1"/>
  <c r="AD20" i="1" s="1"/>
  <c r="AD24" i="1" s="1"/>
  <c r="AD26" i="1" s="1"/>
  <c r="AF16" i="1"/>
  <c r="AH37" i="1"/>
  <c r="AI35" i="1"/>
  <c r="AF13" i="1"/>
  <c r="AG34" i="1"/>
  <c r="AG6" i="1"/>
  <c r="AF8" i="1"/>
  <c r="AG22" i="1" l="1"/>
  <c r="AG14" i="1"/>
  <c r="AF11" i="1"/>
  <c r="AE18" i="1"/>
  <c r="AE20" i="1" s="1"/>
  <c r="AE24" i="1" s="1"/>
  <c r="AE26" i="1" s="1"/>
  <c r="AG16" i="1"/>
  <c r="AH34" i="1"/>
  <c r="AG13" i="1"/>
  <c r="AI37" i="1"/>
  <c r="AJ35" i="1"/>
  <c r="AH6" i="1"/>
  <c r="AH16" i="1" s="1"/>
  <c r="AG8" i="1"/>
  <c r="AH22" i="1" l="1"/>
  <c r="AH14" i="1"/>
  <c r="AG11" i="1"/>
  <c r="AF18" i="1"/>
  <c r="AF20" i="1" s="1"/>
  <c r="AF24" i="1" s="1"/>
  <c r="AF26" i="1" s="1"/>
  <c r="AI34" i="1"/>
  <c r="AH13" i="1"/>
  <c r="AK35" i="1"/>
  <c r="AJ37" i="1"/>
  <c r="AI6" i="1"/>
  <c r="AI16" i="1" s="1"/>
  <c r="AH8" i="1"/>
  <c r="AH11" i="1" l="1"/>
  <c r="AG18" i="1"/>
  <c r="AG20" i="1" s="1"/>
  <c r="AG24" i="1" s="1"/>
  <c r="AG26" i="1" s="1"/>
  <c r="AI22" i="1"/>
  <c r="AI14" i="1"/>
  <c r="AK37" i="1"/>
  <c r="AL35" i="1"/>
  <c r="AJ34" i="1"/>
  <c r="AI13" i="1"/>
  <c r="AI8" i="1"/>
  <c r="AJ6" i="1"/>
  <c r="AJ16" i="1" s="1"/>
  <c r="AJ22" i="1" l="1"/>
  <c r="AJ14" i="1"/>
  <c r="AI11" i="1"/>
  <c r="AH18" i="1"/>
  <c r="AH20" i="1" s="1"/>
  <c r="AH24" i="1" s="1"/>
  <c r="AH26" i="1" s="1"/>
  <c r="AK34" i="1"/>
  <c r="AJ13" i="1"/>
  <c r="AM35" i="1"/>
  <c r="AL37" i="1"/>
  <c r="AJ8" i="1"/>
  <c r="AK6" i="1"/>
  <c r="AK22" i="1" l="1"/>
  <c r="AK14" i="1"/>
  <c r="AJ11" i="1"/>
  <c r="AI18" i="1"/>
  <c r="AI20" i="1" s="1"/>
  <c r="AI24" i="1" s="1"/>
  <c r="AI26" i="1" s="1"/>
  <c r="AK16" i="1"/>
  <c r="AM37" i="1"/>
  <c r="AN35" i="1"/>
  <c r="AK13" i="1"/>
  <c r="AL34" i="1"/>
  <c r="AL6" i="1"/>
  <c r="AK8" i="1"/>
  <c r="AL22" i="1" l="1"/>
  <c r="AL14" i="1"/>
  <c r="AK11" i="1"/>
  <c r="AK18" i="1" s="1"/>
  <c r="AK20" i="1" s="1"/>
  <c r="AK24" i="1" s="1"/>
  <c r="AJ18" i="1"/>
  <c r="AJ20" i="1" s="1"/>
  <c r="AJ24" i="1" s="1"/>
  <c r="AJ26" i="1" s="1"/>
  <c r="AL16" i="1"/>
  <c r="AL13" i="1"/>
  <c r="AM34" i="1"/>
  <c r="AO35" i="1"/>
  <c r="AN37" i="1"/>
  <c r="AM6" i="1"/>
  <c r="AM16" i="1" s="1"/>
  <c r="AL8" i="1"/>
  <c r="AL18" i="1" l="1"/>
  <c r="AL20" i="1" s="1"/>
  <c r="AL24" i="1" s="1"/>
  <c r="AK26" i="1"/>
  <c r="AM22" i="1"/>
  <c r="AM14" i="1"/>
  <c r="AO37" i="1"/>
  <c r="AP35" i="1"/>
  <c r="AM13" i="1"/>
  <c r="AN34" i="1"/>
  <c r="AN6" i="1"/>
  <c r="AN16" i="1" s="1"/>
  <c r="AM8" i="1"/>
  <c r="AN22" i="1" l="1"/>
  <c r="AN14" i="1"/>
  <c r="AM18" i="1"/>
  <c r="AM20" i="1" s="1"/>
  <c r="AM24" i="1" s="1"/>
  <c r="AL26" i="1"/>
  <c r="AN13" i="1"/>
  <c r="AO34" i="1"/>
  <c r="AQ35" i="1"/>
  <c r="AP37" i="1"/>
  <c r="AO6" i="1"/>
  <c r="AN8" i="1"/>
  <c r="AN18" i="1" l="1"/>
  <c r="AN20" i="1" s="1"/>
  <c r="AN24" i="1" s="1"/>
  <c r="AO22" i="1"/>
  <c r="AO14" i="1"/>
  <c r="AO16" i="1"/>
  <c r="AM26" i="1"/>
  <c r="AQ37" i="1"/>
  <c r="AR35" i="1"/>
  <c r="AO13" i="1"/>
  <c r="AP34" i="1"/>
  <c r="AP6" i="1"/>
  <c r="AP16" i="1" s="1"/>
  <c r="AO8" i="1"/>
  <c r="AO18" i="1" l="1"/>
  <c r="AO20" i="1" s="1"/>
  <c r="AO24" i="1" s="1"/>
  <c r="AN26" i="1"/>
  <c r="AP22" i="1"/>
  <c r="AP14" i="1"/>
  <c r="AQ34" i="1"/>
  <c r="AP13" i="1"/>
  <c r="AS35" i="1"/>
  <c r="AR37" i="1"/>
  <c r="AQ6" i="1"/>
  <c r="AQ16" i="1" s="1"/>
  <c r="AP8" i="1"/>
  <c r="AP18" i="1" l="1"/>
  <c r="AP20" i="1" s="1"/>
  <c r="AP24" i="1" s="1"/>
  <c r="AO26" i="1"/>
  <c r="AQ22" i="1"/>
  <c r="AQ14" i="1"/>
  <c r="AT35" i="1"/>
  <c r="AS37" i="1"/>
  <c r="AQ13" i="1"/>
  <c r="AR34" i="1"/>
  <c r="AQ8" i="1"/>
  <c r="AR6" i="1"/>
  <c r="AR16" i="1" s="1"/>
  <c r="AP26" i="1" l="1"/>
  <c r="AR22" i="1"/>
  <c r="AR14" i="1"/>
  <c r="AQ18" i="1"/>
  <c r="AQ20" i="1" s="1"/>
  <c r="AQ24" i="1" s="1"/>
  <c r="AS34" i="1"/>
  <c r="AR13" i="1"/>
  <c r="AT37" i="1"/>
  <c r="AU35" i="1"/>
  <c r="AR8" i="1"/>
  <c r="AS6" i="1"/>
  <c r="AS16" i="1" s="1"/>
  <c r="AQ26" i="1" l="1"/>
  <c r="AR18" i="1"/>
  <c r="AR20" i="1" s="1"/>
  <c r="AR24" i="1" s="1"/>
  <c r="AS22" i="1"/>
  <c r="AS14" i="1"/>
  <c r="AV35" i="1"/>
  <c r="AU37" i="1"/>
  <c r="AS13" i="1"/>
  <c r="AT34" i="1"/>
  <c r="AT6" i="1"/>
  <c r="AS8" i="1"/>
  <c r="AR26" i="1" l="1"/>
  <c r="AT22" i="1"/>
  <c r="AT14" i="1"/>
  <c r="AS18" i="1"/>
  <c r="AS20" i="1" s="1"/>
  <c r="AS24" i="1" s="1"/>
  <c r="AT16" i="1"/>
  <c r="AT13" i="1"/>
  <c r="AU34" i="1"/>
  <c r="AV37" i="1"/>
  <c r="AW35" i="1"/>
  <c r="AU6" i="1"/>
  <c r="AT8" i="1"/>
  <c r="AS26" i="1" l="1"/>
  <c r="AT18" i="1"/>
  <c r="AT20" i="1" s="1"/>
  <c r="AT24" i="1" s="1"/>
  <c r="AU22" i="1"/>
  <c r="AU14" i="1"/>
  <c r="AU16" i="1"/>
  <c r="AX35" i="1"/>
  <c r="AW37" i="1"/>
  <c r="AU13" i="1"/>
  <c r="AV34" i="1"/>
  <c r="AU8" i="1"/>
  <c r="AV6" i="1"/>
  <c r="AT26" i="1" l="1"/>
  <c r="AU18" i="1"/>
  <c r="AU20" i="1" s="1"/>
  <c r="AU24" i="1" s="1"/>
  <c r="AV22" i="1"/>
  <c r="AV14" i="1"/>
  <c r="AV16" i="1"/>
  <c r="AV13" i="1"/>
  <c r="AW34" i="1"/>
  <c r="AX37" i="1"/>
  <c r="AY35" i="1"/>
  <c r="AW6" i="1"/>
  <c r="AV8" i="1"/>
  <c r="AU26" i="1" l="1"/>
  <c r="AV18" i="1"/>
  <c r="AV20" i="1" s="1"/>
  <c r="AV24" i="1" s="1"/>
  <c r="AV26" i="1" s="1"/>
  <c r="AW22" i="1"/>
  <c r="AW14" i="1"/>
  <c r="AW16" i="1"/>
  <c r="AY37" i="1"/>
  <c r="AW13" i="1"/>
  <c r="AX34" i="1"/>
  <c r="AX6" i="1"/>
  <c r="AW8" i="1"/>
  <c r="AX22" i="1" l="1"/>
  <c r="AX14" i="1"/>
  <c r="AW18" i="1"/>
  <c r="AW20" i="1" s="1"/>
  <c r="AW24" i="1" s="1"/>
  <c r="AW26" i="1" s="1"/>
  <c r="AX16" i="1"/>
  <c r="AY34" i="1"/>
  <c r="AX13" i="1"/>
  <c r="AY6" i="1"/>
  <c r="AX8" i="1"/>
  <c r="AY8" i="1" l="1"/>
  <c r="AY22" i="1"/>
  <c r="AY14" i="1"/>
  <c r="AY16" i="1"/>
  <c r="AX18" i="1"/>
  <c r="AX20" i="1" s="1"/>
  <c r="AX24" i="1" s="1"/>
  <c r="AX26" i="1" s="1"/>
  <c r="AY13" i="1"/>
  <c r="AY18" i="1" l="1"/>
  <c r="AY20" i="1" s="1"/>
  <c r="AY24" i="1" s="1"/>
  <c r="AY26" i="1" s="1"/>
</calcChain>
</file>

<file path=xl/sharedStrings.xml><?xml version="1.0" encoding="utf-8"?>
<sst xmlns="http://schemas.openxmlformats.org/spreadsheetml/2006/main" count="49" uniqueCount="42">
  <si>
    <t>Income Taxes</t>
  </si>
  <si>
    <t>Historical</t>
  </si>
  <si>
    <t>Projected</t>
  </si>
  <si>
    <t>Net Income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</si>
  <si>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</si>
  <si>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</si>
  <si>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</si>
  <si>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</si>
  <si>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</si>
  <si>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</si>
  <si>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</si>
  <si>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</si>
  <si>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</si>
  <si>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</si>
  <si>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</si>
  <si>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</si>
  <si>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</si>
  <si>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</si>
  <si>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</si>
  <si>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</si>
  <si>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</si>
  <si>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</si>
  <si>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</si>
  <si>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</si>
  <si>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</si>
  <si>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</si>
  <si>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</si>
  <si>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</si>
  <si>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</si>
  <si>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</si>
  <si>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Personal Savings Account balance at Age 65</t>
  </si>
  <si>
    <t>User Inputs</t>
  </si>
  <si>
    <t>Annual Salary Growth (starting in 2018)</t>
  </si>
  <si>
    <t>Owner: Ilhak Park</t>
  </si>
  <si>
    <t>Project: Financial Modeling Single Person with VBA</t>
  </si>
  <si>
    <t>Date: September 16, 2020</t>
  </si>
  <si>
    <t xml:space="preserve">Description: </t>
  </si>
  <si>
    <t>Create VBA Macros to calculate Sarah's personal savings account at age of 65.</t>
  </si>
  <si>
    <t>Generate a custom graph as an output</t>
  </si>
  <si>
    <t>Goal:</t>
  </si>
  <si>
    <t>To structure a real world financial model that consists salary growth, living expenses and insurance costs as % of annual salary, income tax, and interest of savings account</t>
  </si>
  <si>
    <t>if calculate button yields an error message, please try pressing the button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</si>
</sst>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1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4" fontId="8" fillId="0" borderId="6" xfId="2" applyNumberFormat="1" applyFont="1" applyBorder="1"/>
    <xf numFmtId="165" fontId="8" fillId="0" borderId="7" xfId="1" applyNumberFormat="1" applyFont="1" applyBorder="1"/>
    <xf numFmtId="165" fontId="8" fillId="0" borderId="6" xfId="1" applyNumberFormat="1" applyFont="1" applyBorder="1"/>
    <xf numFmtId="166" fontId="3" fillId="0" borderId="6" xfId="3" applyNumberFormat="1" applyFont="1" applyBorder="1"/>
    <xf numFmtId="165" fontId="7" fillId="0" borderId="6" xfId="1" applyNumberFormat="1" applyFont="1" applyBorder="1"/>
    <xf numFmtId="165" fontId="9" fillId="0" borderId="6" xfId="1" applyNumberFormat="1" applyFont="1" applyBorder="1"/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4" fontId="7" fillId="0" borderId="0" xfId="2" applyNumberFormat="1" applyFont="1"/>
    <xf numFmtId="164" fontId="7" fillId="0" borderId="6" xfId="2" applyNumberFormat="1" applyFont="1" applyBorder="1"/>
    <xf numFmtId="165" fontId="7" fillId="0" borderId="3" xfId="1" applyNumberFormat="1" applyFont="1" applyBorder="1"/>
    <xf numFmtId="165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6" xfId="2" applyNumberFormat="1" applyFont="1" applyBorder="1"/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9" fontId="8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6" fontId="3" fillId="0" borderId="6" xfId="0" applyNumberFormat="1" applyFont="1" applyBorder="1"/>
    <xf numFmtId="164" fontId="3" fillId="5" borderId="0" xfId="2" applyNumberFormat="1" applyFont="1" applyFill="1"/>
    <xf numFmtId="44" fontId="0" fillId="6" borderId="8" xfId="2" applyFont="1" applyFill="1" applyBorder="1"/>
    <xf numFmtId="0" fontId="3" fillId="7" borderId="0" xfId="0" applyFont="1" applyFill="1"/>
    <xf numFmtId="0" fontId="0" fillId="7" borderId="0" xfId="0" applyFill="1"/>
    <xf numFmtId="166" fontId="8" fillId="7" borderId="0" xfId="0" applyNumberFormat="1" applyFont="1" applyFill="1"/>
    <xf numFmtId="0" fontId="15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Savings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Model!$H$3:$AY$3</c:f>
              <c:numCache>
                <c:formatCode>General</c:formatCode>
                <c:ptCount val="4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</c:numCache>
            </c:numRef>
          </c:cat>
          <c:val>
            <c:numRef>
              <c:f>Model!$H$26:$AY$26</c:f>
              <c:numCache>
                <c:formatCode>_("$"* #,##0.0_);_("$"* \(#,##0.0\);_("$"* "-"??_);_(@_)</c:formatCode>
                <c:ptCount val="44"/>
                <c:pt idx="0">
                  <c:v>2449.9999999999982</c:v>
                </c:pt>
                <c:pt idx="1">
                  <c:v>9974.4999999999982</c:v>
                </c:pt>
                <c:pt idx="2">
                  <c:v>22624.244999999995</c:v>
                </c:pt>
                <c:pt idx="3">
                  <c:v>40450.487449999993</c:v>
                </c:pt>
                <c:pt idx="4">
                  <c:v>63504.992324499995</c:v>
                </c:pt>
                <c:pt idx="5">
                  <c:v>94475.092170989999</c:v>
                </c:pt>
                <c:pt idx="6">
                  <c:v>128689.5940144098</c:v>
                </c:pt>
                <c:pt idx="7">
                  <c:v>166344.635894698</c:v>
                </c:pt>
                <c:pt idx="8">
                  <c:v>207646.84111259197</c:v>
                </c:pt>
                <c:pt idx="9">
                  <c:v>252813.85605984382</c:v>
                </c:pt>
                <c:pt idx="10">
                  <c:v>305674.91521229071</c:v>
                </c:pt>
                <c:pt idx="11">
                  <c:v>362943.43464934902</c:v>
                </c:pt>
                <c:pt idx="12">
                  <c:v>424875.0755317891</c:v>
                </c:pt>
                <c:pt idx="13">
                  <c:v>491738.98784135067</c:v>
                </c:pt>
                <c:pt idx="14">
                  <c:v>563818.49893704976</c:v>
                </c:pt>
                <c:pt idx="15">
                  <c:v>641411.8368216065</c:v>
                </c:pt>
                <c:pt idx="16">
                  <c:v>724832.88985914516</c:v>
                </c:pt>
                <c:pt idx="17">
                  <c:v>814412.00477248989</c:v>
                </c:pt>
                <c:pt idx="18">
                  <c:v>910496.82483990956</c:v>
                </c:pt>
                <c:pt idx="19">
                  <c:v>1013453.1703072762</c:v>
                </c:pt>
                <c:pt idx="20">
                  <c:v>1123665.9631325186</c:v>
                </c:pt>
                <c:pt idx="21">
                  <c:v>1241540.1982852207</c:v>
                </c:pt>
                <c:pt idx="22">
                  <c:v>1367501.9639354795</c:v>
                </c:pt>
                <c:pt idx="23">
                  <c:v>1501999.512982971</c:v>
                </c:pt>
                <c:pt idx="24">
                  <c:v>1645504.3884998516</c:v>
                </c:pt>
                <c:pt idx="25">
                  <c:v>1798512.6057899308</c:v>
                </c:pt>
                <c:pt idx="26">
                  <c:v>1961545.8939018156</c:v>
                </c:pt>
                <c:pt idx="27">
                  <c:v>2135152.9995757425</c:v>
                </c:pt>
                <c:pt idx="28">
                  <c:v>2319911.0567529425</c:v>
                </c:pt>
                <c:pt idx="29">
                  <c:v>2516427.0249329708</c:v>
                </c:pt>
                <c:pt idx="30">
                  <c:v>2743339.1998288482</c:v>
                </c:pt>
                <c:pt idx="31">
                  <c:v>2983678.7999425037</c:v>
                </c:pt>
                <c:pt idx="32">
                  <c:v>3238158.8328642864</c:v>
                </c:pt>
                <c:pt idx="33">
                  <c:v>3507528.7892906517</c:v>
                </c:pt>
                <c:pt idx="34">
                  <c:v>3792576.483833998</c:v>
                </c:pt>
                <c:pt idx="35">
                  <c:v>4094129.9882060881</c:v>
                </c:pt>
                <c:pt idx="36">
                  <c:v>4413059.6614003899</c:v>
                </c:pt>
                <c:pt idx="37">
                  <c:v>4750280.2817300875</c:v>
                </c:pt>
                <c:pt idx="38">
                  <c:v>5106753.285821463</c:v>
                </c:pt>
                <c:pt idx="39">
                  <c:v>5483489.1199175054</c:v>
                </c:pt>
                <c:pt idx="40">
                  <c:v>5881549.7091144491</c:v>
                </c:pt>
                <c:pt idx="41">
                  <c:v>6302051.0504352609</c:v>
                </c:pt>
                <c:pt idx="42">
                  <c:v>6746165.9359394163</c:v>
                </c:pt>
                <c:pt idx="43">
                  <c:v>7215126.8123784261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B-D347-92FE-493314032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2000527"/>
        <c:axId val="1672002159"/>
      </c:lineChart>
      <c:catAx>
        <c:axId val="1672000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002159"/>
        <c:crosses val="autoZero"/>
        <c:auto val="1"/>
        <c:lblAlgn val="ctr"/>
        <c:lblOffset val="100"/>
        <c:noMultiLvlLbl val="0"/>
      </c:catAx>
      <c:valAx>
        <c:axId val="167200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000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76200</xdr:rowOff>
        </xdr:from>
        <xdr:to>
          <xdr:col>11</xdr:col>
          <xdr:colOff>241300</xdr:colOff>
          <xdr:row>6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63500</xdr:rowOff>
        </xdr:from>
        <xdr:to>
          <xdr:col>11</xdr:col>
          <xdr:colOff>215900</xdr:colOff>
          <xdr:row>9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10</xdr:row>
          <xdr:rowOff>50800</xdr:rowOff>
        </xdr:from>
        <xdr:to>
          <xdr:col>11</xdr:col>
          <xdr:colOff>228600</xdr:colOff>
          <xdr:row>12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Model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1117600</xdr:colOff>
      <xdr:row>28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0D7285-6E76-4F47-8501-047B85F80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0</xdr:row>
          <xdr:rowOff>114300</xdr:rowOff>
        </xdr:from>
        <xdr:to>
          <xdr:col>3</xdr:col>
          <xdr:colOff>215900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19F-CD90-7B41-9996-A60F3025DD2D}">
  <dimension ref="A1:B8"/>
  <sheetViews>
    <sheetView workbookViewId="0">
      <selection activeCell="B13" sqref="B13"/>
    </sheetView>
  </sheetViews>
  <sheetFormatPr baseColWidth="10" defaultRowHeight="15"/>
  <cols>
    <col min="1" max="1" width="15" customWidth="1"/>
  </cols>
  <sheetData>
    <row r="1" spans="1:2" ht="20">
      <c r="A1" s="14" t="s">
        <v>29</v>
      </c>
    </row>
    <row r="2" spans="1:2" ht="20">
      <c r="A2" s="14" t="s">
        <v>34</v>
      </c>
    </row>
    <row r="3" spans="1:2" ht="21">
      <c r="A3" s="51" t="s">
        <v>33</v>
      </c>
      <c r="B3" s="51"/>
    </row>
    <row r="4" spans="1:2" ht="21">
      <c r="A4" s="51" t="s">
        <v>35</v>
      </c>
      <c r="B4" s="51"/>
    </row>
    <row r="5" spans="1:2" ht="21">
      <c r="A5" s="51" t="s">
        <v>39</v>
      </c>
      <c r="B5" s="51" t="s">
        <v>40</v>
      </c>
    </row>
    <row r="6" spans="1:2" ht="21">
      <c r="A6" s="51" t="s">
        <v>36</v>
      </c>
      <c r="B6" s="51" t="s">
        <v>37</v>
      </c>
    </row>
    <row r="7" spans="1:2" ht="21">
      <c r="A7" s="51"/>
      <c r="B7" s="51" t="s">
        <v>38</v>
      </c>
    </row>
    <row r="8" spans="1:2" ht="21">
      <c r="A8" s="51"/>
      <c r="B8" s="5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3:M12"/>
  <sheetViews>
    <sheetView showGridLines="0" tabSelected="1" workbookViewId="0"/>
  </sheetViews>
  <sheetFormatPr baseColWidth="10" defaultColWidth="8.83203125" defaultRowHeight="15"/>
  <cols>
    <col min="6" max="6" width="36.5" bestFit="1" customWidth="1"/>
    <col min="8" max="8" width="23.5" customWidth="1"/>
  </cols>
  <sheetData>
    <row r="3" spans="6:13" ht="20">
      <c r="F3" s="14" t="s">
        <v>31</v>
      </c>
    </row>
    <row r="5" spans="6:13">
      <c r="F5" s="48" t="s">
        <v>32</v>
      </c>
      <c r="G5" s="49"/>
      <c r="H5" s="50">
        <v>0.05</v>
      </c>
      <c r="M5" t="s">
        <v>41</v>
      </c>
    </row>
    <row r="6" spans="6:13">
      <c r="F6" s="2" t="s">
        <v>21</v>
      </c>
      <c r="H6" s="43">
        <v>5.0000000000000001E-3</v>
      </c>
    </row>
    <row r="7" spans="6:13">
      <c r="F7" s="48" t="s">
        <v>22</v>
      </c>
      <c r="G7" s="49"/>
      <c r="H7" s="50">
        <v>0.1</v>
      </c>
    </row>
    <row r="8" spans="6:13">
      <c r="F8" s="2" t="s">
        <v>24</v>
      </c>
      <c r="H8" s="43">
        <v>0.12</v>
      </c>
    </row>
    <row r="9" spans="6:13">
      <c r="F9" s="48" t="s">
        <v>26</v>
      </c>
      <c r="G9" s="49"/>
      <c r="H9" s="50">
        <v>0.25</v>
      </c>
    </row>
    <row r="10" spans="6:13">
      <c r="F10" s="2" t="s">
        <v>25</v>
      </c>
      <c r="H10" s="42">
        <v>0.02</v>
      </c>
    </row>
    <row r="11" spans="6:13" ht="16" thickBot="1"/>
    <row r="12" spans="6:13" ht="16" thickBot="1">
      <c r="F12" s="2" t="s">
        <v>30</v>
      </c>
      <c r="H12" s="47">
        <v>7215126.8124000002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UserInputs">
                <anchor moveWithCells="1" sizeWithCells="1">
                  <from>
                    <xdr:col>9</xdr:col>
                    <xdr:colOff>63500</xdr:colOff>
                    <xdr:row>4</xdr:row>
                    <xdr:rowOff>76200</xdr:rowOff>
                  </from>
                  <to>
                    <xdr:col>11</xdr:col>
                    <xdr:colOff>241300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UserInputs">
                <anchor moveWithCells="1" sizeWithCells="1">
                  <from>
                    <xdr:col>9</xdr:col>
                    <xdr:colOff>38100</xdr:colOff>
                    <xdr:row>7</xdr:row>
                    <xdr:rowOff>63500</xdr:rowOff>
                  </from>
                  <to>
                    <xdr:col>11</xdr:col>
                    <xdr:colOff>215900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oToModelTab">
                <anchor moveWithCells="1" sizeWithCells="1">
                  <from>
                    <xdr:col>9</xdr:col>
                    <xdr:colOff>50800</xdr:colOff>
                    <xdr:row>10</xdr:row>
                    <xdr:rowOff>50800</xdr:rowOff>
                  </from>
                  <to>
                    <xdr:col>11</xdr:col>
                    <xdr:colOff>228600</xdr:colOff>
                    <xdr:row>12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39"/>
  <sheetViews>
    <sheetView zoomScaleNormal="100" workbookViewId="0"/>
  </sheetViews>
  <sheetFormatPr baseColWidth="10" defaultColWidth="9.1640625" defaultRowHeight="13"/>
  <cols>
    <col min="1" max="1" width="9.1640625" style="2"/>
    <col min="2" max="2" width="4" style="2" customWidth="1"/>
    <col min="3" max="4" width="9.1640625" style="2"/>
    <col min="5" max="5" width="12.83203125" style="2" bestFit="1" customWidth="1"/>
    <col min="6" max="7" width="9.1640625" style="2"/>
    <col min="8" max="8" width="10.5" style="2" bestFit="1" customWidth="1"/>
    <col min="9" max="12" width="11.33203125" style="2" bestFit="1" customWidth="1"/>
    <col min="13" max="13" width="11.5" style="2" bestFit="1" customWidth="1"/>
    <col min="14" max="30" width="12.33203125" style="2" bestFit="1" customWidth="1"/>
    <col min="31" max="51" width="14" style="2" bestFit="1" customWidth="1"/>
    <col min="52" max="16384" width="9.1640625" style="2"/>
  </cols>
  <sheetData>
    <row r="1" spans="1:51">
      <c r="A1" s="6"/>
      <c r="G1" s="36" t="s">
        <v>14</v>
      </c>
      <c r="H1" s="35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2">
        <f t="shared" si="0"/>
        <v>27</v>
      </c>
      <c r="N1" s="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1">
      <c r="H2" s="15"/>
      <c r="I2" s="16"/>
      <c r="J2" s="16" t="s">
        <v>1</v>
      </c>
      <c r="K2" s="16"/>
      <c r="L2" s="19"/>
      <c r="M2" s="17"/>
      <c r="N2" s="17" t="s">
        <v>2</v>
      </c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</row>
    <row r="3" spans="1:51">
      <c r="H3" s="27">
        <f t="shared" ref="H3:J3" si="1">I3-1</f>
        <v>2012</v>
      </c>
      <c r="I3" s="27">
        <f t="shared" si="1"/>
        <v>2013</v>
      </c>
      <c r="J3" s="27">
        <f t="shared" si="1"/>
        <v>2014</v>
      </c>
      <c r="K3" s="27">
        <f>L3-1</f>
        <v>2015</v>
      </c>
      <c r="L3" s="28">
        <f>M3-1</f>
        <v>2016</v>
      </c>
      <c r="M3" s="18">
        <v>2017</v>
      </c>
      <c r="N3" s="27">
        <f>M3+1</f>
        <v>2018</v>
      </c>
      <c r="O3" s="27">
        <f t="shared" ref="O3:AN3" si="2">N3+1</f>
        <v>2019</v>
      </c>
      <c r="P3" s="27">
        <f t="shared" si="2"/>
        <v>2020</v>
      </c>
      <c r="Q3" s="27">
        <f t="shared" si="2"/>
        <v>2021</v>
      </c>
      <c r="R3" s="27">
        <f t="shared" si="2"/>
        <v>2022</v>
      </c>
      <c r="S3" s="27">
        <f t="shared" si="2"/>
        <v>2023</v>
      </c>
      <c r="T3" s="27">
        <f t="shared" si="2"/>
        <v>2024</v>
      </c>
      <c r="U3" s="27">
        <f t="shared" si="2"/>
        <v>2025</v>
      </c>
      <c r="V3" s="27">
        <f t="shared" si="2"/>
        <v>2026</v>
      </c>
      <c r="W3" s="27">
        <f t="shared" si="2"/>
        <v>2027</v>
      </c>
      <c r="X3" s="27">
        <f t="shared" si="2"/>
        <v>2028</v>
      </c>
      <c r="Y3" s="27">
        <f t="shared" si="2"/>
        <v>2029</v>
      </c>
      <c r="Z3" s="27">
        <f t="shared" si="2"/>
        <v>2030</v>
      </c>
      <c r="AA3" s="27">
        <f t="shared" si="2"/>
        <v>2031</v>
      </c>
      <c r="AB3" s="27">
        <f t="shared" si="2"/>
        <v>2032</v>
      </c>
      <c r="AC3" s="27">
        <f t="shared" si="2"/>
        <v>2033</v>
      </c>
      <c r="AD3" s="27">
        <f t="shared" si="2"/>
        <v>2034</v>
      </c>
      <c r="AE3" s="27">
        <f t="shared" si="2"/>
        <v>2035</v>
      </c>
      <c r="AF3" s="27">
        <f t="shared" si="2"/>
        <v>2036</v>
      </c>
      <c r="AG3" s="27">
        <f t="shared" si="2"/>
        <v>2037</v>
      </c>
      <c r="AH3" s="27">
        <f t="shared" si="2"/>
        <v>2038</v>
      </c>
      <c r="AI3" s="27">
        <f t="shared" si="2"/>
        <v>2039</v>
      </c>
      <c r="AJ3" s="27">
        <f t="shared" si="2"/>
        <v>2040</v>
      </c>
      <c r="AK3" s="27">
        <f t="shared" si="2"/>
        <v>2041</v>
      </c>
      <c r="AL3" s="27">
        <f t="shared" si="2"/>
        <v>2042</v>
      </c>
      <c r="AM3" s="27">
        <f t="shared" si="2"/>
        <v>2043</v>
      </c>
      <c r="AN3" s="27">
        <f t="shared" si="2"/>
        <v>2044</v>
      </c>
      <c r="AO3" s="27">
        <f t="shared" ref="AO3:AY3" si="3">AN3+1</f>
        <v>2045</v>
      </c>
      <c r="AP3" s="27">
        <f t="shared" si="3"/>
        <v>2046</v>
      </c>
      <c r="AQ3" s="27">
        <f t="shared" si="3"/>
        <v>2047</v>
      </c>
      <c r="AR3" s="27">
        <f t="shared" si="3"/>
        <v>2048</v>
      </c>
      <c r="AS3" s="27">
        <f t="shared" si="3"/>
        <v>2049</v>
      </c>
      <c r="AT3" s="27">
        <f t="shared" si="3"/>
        <v>2050</v>
      </c>
      <c r="AU3" s="27">
        <f t="shared" si="3"/>
        <v>2051</v>
      </c>
      <c r="AV3" s="27">
        <f t="shared" si="3"/>
        <v>2052</v>
      </c>
      <c r="AW3" s="27">
        <f t="shared" si="3"/>
        <v>2053</v>
      </c>
      <c r="AX3" s="27">
        <f t="shared" si="3"/>
        <v>2054</v>
      </c>
      <c r="AY3" s="27">
        <f t="shared" si="3"/>
        <v>2055</v>
      </c>
    </row>
    <row r="4" spans="1:51">
      <c r="H4" s="29"/>
      <c r="I4" s="29"/>
      <c r="J4" s="29"/>
      <c r="K4" s="29"/>
      <c r="L4" s="30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</row>
    <row r="5" spans="1:51">
      <c r="B5" s="4" t="s">
        <v>6</v>
      </c>
      <c r="H5" s="29"/>
      <c r="I5" s="29"/>
      <c r="J5" s="29"/>
      <c r="K5" s="29"/>
      <c r="L5" s="30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</row>
    <row r="6" spans="1:51">
      <c r="B6" s="2" t="s">
        <v>12</v>
      </c>
      <c r="H6" s="7">
        <v>50000</v>
      </c>
      <c r="I6" s="7">
        <v>60000</v>
      </c>
      <c r="J6" s="7">
        <v>70000</v>
      </c>
      <c r="K6" s="7">
        <v>80000</v>
      </c>
      <c r="L6" s="21">
        <v>90000</v>
      </c>
      <c r="M6" s="31">
        <f>L6*(1+M31)</f>
        <v>100000</v>
      </c>
      <c r="N6" s="31">
        <f t="shared" ref="N6:AY6" si="4">M6*(1+N31)</f>
        <v>105000</v>
      </c>
      <c r="O6" s="31">
        <f t="shared" si="4"/>
        <v>110250</v>
      </c>
      <c r="P6" s="31">
        <f t="shared" si="4"/>
        <v>115762.5</v>
      </c>
      <c r="Q6" s="31">
        <f t="shared" si="4"/>
        <v>121550.625</v>
      </c>
      <c r="R6" s="31">
        <f t="shared" si="4"/>
        <v>127628.15625</v>
      </c>
      <c r="S6" s="31">
        <f t="shared" si="4"/>
        <v>134009.56406249999</v>
      </c>
      <c r="T6" s="31">
        <f t="shared" si="4"/>
        <v>140710.042265625</v>
      </c>
      <c r="U6" s="31">
        <f t="shared" si="4"/>
        <v>147745.54437890626</v>
      </c>
      <c r="V6" s="31">
        <f t="shared" si="4"/>
        <v>155132.82159785158</v>
      </c>
      <c r="W6" s="31">
        <f t="shared" si="4"/>
        <v>162889.46267774416</v>
      </c>
      <c r="X6" s="31">
        <f t="shared" si="4"/>
        <v>171033.93581163138</v>
      </c>
      <c r="Y6" s="31">
        <f t="shared" si="4"/>
        <v>179585.63260221295</v>
      </c>
      <c r="Z6" s="31">
        <f t="shared" si="4"/>
        <v>188564.91423232362</v>
      </c>
      <c r="AA6" s="31">
        <f t="shared" si="4"/>
        <v>197993.1599439398</v>
      </c>
      <c r="AB6" s="31">
        <f t="shared" si="4"/>
        <v>207892.8179411368</v>
      </c>
      <c r="AC6" s="31">
        <f t="shared" si="4"/>
        <v>218287.45883819365</v>
      </c>
      <c r="AD6" s="31">
        <f t="shared" si="4"/>
        <v>229201.83178010333</v>
      </c>
      <c r="AE6" s="31">
        <f t="shared" si="4"/>
        <v>240661.9233691085</v>
      </c>
      <c r="AF6" s="31">
        <f t="shared" si="4"/>
        <v>252695.01953756393</v>
      </c>
      <c r="AG6" s="31">
        <f t="shared" si="4"/>
        <v>265329.77051444212</v>
      </c>
      <c r="AH6" s="31">
        <f t="shared" si="4"/>
        <v>278596.25904016424</v>
      </c>
      <c r="AI6" s="31">
        <f t="shared" si="4"/>
        <v>292526.07199217245</v>
      </c>
      <c r="AJ6" s="31">
        <f t="shared" si="4"/>
        <v>307152.37559178111</v>
      </c>
      <c r="AK6" s="31">
        <f t="shared" si="4"/>
        <v>322509.99437137018</v>
      </c>
      <c r="AL6" s="31">
        <f t="shared" si="4"/>
        <v>338635.4940899387</v>
      </c>
      <c r="AM6" s="31">
        <f t="shared" si="4"/>
        <v>355567.26879443566</v>
      </c>
      <c r="AN6" s="31">
        <f t="shared" si="4"/>
        <v>373345.63223415747</v>
      </c>
      <c r="AO6" s="31">
        <f t="shared" si="4"/>
        <v>392012.91384586535</v>
      </c>
      <c r="AP6" s="31">
        <f t="shared" si="4"/>
        <v>411613.55953815865</v>
      </c>
      <c r="AQ6" s="31">
        <f t="shared" si="4"/>
        <v>432194.23751506658</v>
      </c>
      <c r="AR6" s="31">
        <f t="shared" si="4"/>
        <v>453803.94939081994</v>
      </c>
      <c r="AS6" s="31">
        <f t="shared" si="4"/>
        <v>476494.14686036092</v>
      </c>
      <c r="AT6" s="31">
        <f t="shared" si="4"/>
        <v>500318.85420337901</v>
      </c>
      <c r="AU6" s="31">
        <f t="shared" si="4"/>
        <v>525334.79691354802</v>
      </c>
      <c r="AV6" s="31">
        <f t="shared" si="4"/>
        <v>551601.53675922542</v>
      </c>
      <c r="AW6" s="31">
        <f t="shared" si="4"/>
        <v>579181.61359718675</v>
      </c>
      <c r="AX6" s="31">
        <f t="shared" si="4"/>
        <v>608140.69427704613</v>
      </c>
      <c r="AY6" s="31">
        <f t="shared" si="4"/>
        <v>638547.72899089847</v>
      </c>
    </row>
    <row r="7" spans="1:51">
      <c r="H7" s="33"/>
      <c r="I7" s="33"/>
      <c r="J7" s="33"/>
      <c r="K7" s="33"/>
      <c r="L7" s="34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</row>
    <row r="8" spans="1:51">
      <c r="C8" s="3" t="s">
        <v>7</v>
      </c>
      <c r="H8" s="12">
        <f>SUM(H6:H7)</f>
        <v>50000</v>
      </c>
      <c r="I8" s="12">
        <f t="shared" ref="I8:L8" si="5">SUM(I6:I7)</f>
        <v>60000</v>
      </c>
      <c r="J8" s="12">
        <f t="shared" si="5"/>
        <v>70000</v>
      </c>
      <c r="K8" s="12">
        <f t="shared" si="5"/>
        <v>80000</v>
      </c>
      <c r="L8" s="25">
        <f t="shared" si="5"/>
        <v>90000</v>
      </c>
      <c r="M8" s="12">
        <f t="shared" ref="M8" si="6">SUM(M6:M7)</f>
        <v>100000</v>
      </c>
      <c r="N8" s="12">
        <f t="shared" ref="N8" si="7">SUM(N6:N7)</f>
        <v>105000</v>
      </c>
      <c r="O8" s="12">
        <f t="shared" ref="O8" si="8">SUM(O6:O7)</f>
        <v>110250</v>
      </c>
      <c r="P8" s="12">
        <f t="shared" ref="P8" si="9">SUM(P6:P7)</f>
        <v>115762.5</v>
      </c>
      <c r="Q8" s="12">
        <f t="shared" ref="Q8" si="10">SUM(Q6:Q7)</f>
        <v>121550.625</v>
      </c>
      <c r="R8" s="12">
        <f t="shared" ref="R8" si="11">SUM(R6:R7)</f>
        <v>127628.15625</v>
      </c>
      <c r="S8" s="12">
        <f t="shared" ref="S8" si="12">SUM(S6:S7)</f>
        <v>134009.56406249999</v>
      </c>
      <c r="T8" s="12">
        <f t="shared" ref="T8" si="13">SUM(T6:T7)</f>
        <v>140710.042265625</v>
      </c>
      <c r="U8" s="12">
        <f t="shared" ref="U8" si="14">SUM(U6:U7)</f>
        <v>147745.54437890626</v>
      </c>
      <c r="V8" s="12">
        <f t="shared" ref="V8" si="15">SUM(V6:V7)</f>
        <v>155132.82159785158</v>
      </c>
      <c r="W8" s="12">
        <f t="shared" ref="W8" si="16">SUM(W6:W7)</f>
        <v>162889.46267774416</v>
      </c>
      <c r="X8" s="12">
        <f t="shared" ref="X8" si="17">SUM(X6:X7)</f>
        <v>171033.93581163138</v>
      </c>
      <c r="Y8" s="12">
        <f t="shared" ref="Y8" si="18">SUM(Y6:Y7)</f>
        <v>179585.63260221295</v>
      </c>
      <c r="Z8" s="12">
        <f t="shared" ref="Z8" si="19">SUM(Z6:Z7)</f>
        <v>188564.91423232362</v>
      </c>
      <c r="AA8" s="12">
        <f t="shared" ref="AA8" si="20">SUM(AA6:AA7)</f>
        <v>197993.1599439398</v>
      </c>
      <c r="AB8" s="12">
        <f t="shared" ref="AB8" si="21">SUM(AB6:AB7)</f>
        <v>207892.8179411368</v>
      </c>
      <c r="AC8" s="12">
        <f t="shared" ref="AC8" si="22">SUM(AC6:AC7)</f>
        <v>218287.45883819365</v>
      </c>
      <c r="AD8" s="12">
        <f t="shared" ref="AD8" si="23">SUM(AD6:AD7)</f>
        <v>229201.83178010333</v>
      </c>
      <c r="AE8" s="12">
        <f t="shared" ref="AE8" si="24">SUM(AE6:AE7)</f>
        <v>240661.9233691085</v>
      </c>
      <c r="AF8" s="12">
        <f t="shared" ref="AF8" si="25">SUM(AF6:AF7)</f>
        <v>252695.01953756393</v>
      </c>
      <c r="AG8" s="12">
        <f t="shared" ref="AG8" si="26">SUM(AG6:AG7)</f>
        <v>265329.77051444212</v>
      </c>
      <c r="AH8" s="12">
        <f t="shared" ref="AH8" si="27">SUM(AH6:AH7)</f>
        <v>278596.25904016424</v>
      </c>
      <c r="AI8" s="12">
        <f t="shared" ref="AI8" si="28">SUM(AI6:AI7)</f>
        <v>292526.07199217245</v>
      </c>
      <c r="AJ8" s="12">
        <f t="shared" ref="AJ8" si="29">SUM(AJ6:AJ7)</f>
        <v>307152.37559178111</v>
      </c>
      <c r="AK8" s="12">
        <f t="shared" ref="AK8" si="30">SUM(AK6:AK7)</f>
        <v>322509.99437137018</v>
      </c>
      <c r="AL8" s="12">
        <f t="shared" ref="AL8" si="31">SUM(AL6:AL7)</f>
        <v>338635.4940899387</v>
      </c>
      <c r="AM8" s="12">
        <f t="shared" ref="AM8" si="32">SUM(AM6:AM7)</f>
        <v>355567.26879443566</v>
      </c>
      <c r="AN8" s="12">
        <f t="shared" ref="AN8" si="33">SUM(AN6:AN7)</f>
        <v>373345.63223415747</v>
      </c>
      <c r="AO8" s="12">
        <f t="shared" ref="AO8" si="34">SUM(AO6:AO7)</f>
        <v>392012.91384586535</v>
      </c>
      <c r="AP8" s="12">
        <f t="shared" ref="AP8" si="35">SUM(AP6:AP7)</f>
        <v>411613.55953815865</v>
      </c>
      <c r="AQ8" s="12">
        <f t="shared" ref="AQ8" si="36">SUM(AQ6:AQ7)</f>
        <v>432194.23751506658</v>
      </c>
      <c r="AR8" s="12">
        <f t="shared" ref="AR8" si="37">SUM(AR6:AR7)</f>
        <v>453803.94939081994</v>
      </c>
      <c r="AS8" s="12">
        <f t="shared" ref="AS8" si="38">SUM(AS6:AS7)</f>
        <v>476494.14686036092</v>
      </c>
      <c r="AT8" s="12">
        <f t="shared" ref="AT8" si="39">SUM(AT6:AT7)</f>
        <v>500318.85420337901</v>
      </c>
      <c r="AU8" s="12">
        <f t="shared" ref="AU8" si="40">SUM(AU6:AU7)</f>
        <v>525334.79691354802</v>
      </c>
      <c r="AV8" s="12">
        <f t="shared" ref="AV8" si="41">SUM(AV6:AV7)</f>
        <v>551601.53675922542</v>
      </c>
      <c r="AW8" s="12">
        <f t="shared" ref="AW8" si="42">SUM(AW6:AW7)</f>
        <v>579181.61359718675</v>
      </c>
      <c r="AX8" s="12">
        <f t="shared" ref="AX8" si="43">SUM(AX6:AX7)</f>
        <v>608140.69427704613</v>
      </c>
      <c r="AY8" s="12">
        <f t="shared" ref="AY8" si="44">SUM(AY6:AY7)</f>
        <v>638547.72899089847</v>
      </c>
    </row>
    <row r="9" spans="1:51">
      <c r="H9" s="12"/>
      <c r="I9" s="12"/>
      <c r="J9" s="12"/>
      <c r="K9" s="12"/>
      <c r="L9" s="25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>
      <c r="B10" s="4" t="s">
        <v>8</v>
      </c>
      <c r="H10" s="12"/>
      <c r="I10" s="12"/>
      <c r="J10" s="12"/>
      <c r="K10" s="12"/>
      <c r="L10" s="25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>
      <c r="B11" s="2" t="s">
        <v>4</v>
      </c>
      <c r="H11" s="10">
        <f>1500*12</f>
        <v>18000</v>
      </c>
      <c r="I11" s="10">
        <f t="shared" ref="I11:L11" si="45">1500*12</f>
        <v>18000</v>
      </c>
      <c r="J11" s="10">
        <f t="shared" si="45"/>
        <v>18000</v>
      </c>
      <c r="K11" s="10">
        <f t="shared" si="45"/>
        <v>18000</v>
      </c>
      <c r="L11" s="23">
        <f t="shared" si="45"/>
        <v>18000</v>
      </c>
      <c r="M11" s="12">
        <f>L11</f>
        <v>18000</v>
      </c>
      <c r="N11" s="12">
        <f t="shared" ref="N11:AK11" si="46">M11</f>
        <v>18000</v>
      </c>
      <c r="O11" s="12">
        <f t="shared" si="46"/>
        <v>18000</v>
      </c>
      <c r="P11" s="12">
        <f t="shared" si="46"/>
        <v>18000</v>
      </c>
      <c r="Q11" s="12">
        <f t="shared" si="46"/>
        <v>18000</v>
      </c>
      <c r="R11" s="12">
        <f t="shared" si="46"/>
        <v>18000</v>
      </c>
      <c r="S11" s="12">
        <f t="shared" si="46"/>
        <v>18000</v>
      </c>
      <c r="T11" s="12">
        <f t="shared" si="46"/>
        <v>18000</v>
      </c>
      <c r="U11" s="12">
        <f t="shared" si="46"/>
        <v>18000</v>
      </c>
      <c r="V11" s="12">
        <f t="shared" si="46"/>
        <v>18000</v>
      </c>
      <c r="W11" s="12">
        <f t="shared" si="46"/>
        <v>18000</v>
      </c>
      <c r="X11" s="12">
        <f t="shared" si="46"/>
        <v>18000</v>
      </c>
      <c r="Y11" s="12">
        <f t="shared" si="46"/>
        <v>18000</v>
      </c>
      <c r="Z11" s="12">
        <f t="shared" si="46"/>
        <v>18000</v>
      </c>
      <c r="AA11" s="12">
        <f t="shared" si="46"/>
        <v>18000</v>
      </c>
      <c r="AB11" s="12">
        <f t="shared" si="46"/>
        <v>18000</v>
      </c>
      <c r="AC11" s="12">
        <f t="shared" si="46"/>
        <v>18000</v>
      </c>
      <c r="AD11" s="12">
        <f t="shared" si="46"/>
        <v>18000</v>
      </c>
      <c r="AE11" s="12">
        <f t="shared" si="46"/>
        <v>18000</v>
      </c>
      <c r="AF11" s="12">
        <f t="shared" si="46"/>
        <v>18000</v>
      </c>
      <c r="AG11" s="12">
        <f t="shared" si="46"/>
        <v>18000</v>
      </c>
      <c r="AH11" s="12">
        <f t="shared" si="46"/>
        <v>18000</v>
      </c>
      <c r="AI11" s="12">
        <f t="shared" si="46"/>
        <v>18000</v>
      </c>
      <c r="AJ11" s="12">
        <f t="shared" si="46"/>
        <v>18000</v>
      </c>
      <c r="AK11" s="12">
        <f t="shared" si="46"/>
        <v>18000</v>
      </c>
      <c r="AL11" s="12"/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</row>
    <row r="12" spans="1:51">
      <c r="B12" s="2" t="s">
        <v>13</v>
      </c>
      <c r="H12" s="10">
        <f>300*12</f>
        <v>3600</v>
      </c>
      <c r="I12" s="10">
        <f t="shared" ref="I12:L12" si="47">300*12</f>
        <v>3600</v>
      </c>
      <c r="J12" s="10">
        <f t="shared" si="47"/>
        <v>3600</v>
      </c>
      <c r="K12" s="10">
        <f t="shared" si="47"/>
        <v>3600</v>
      </c>
      <c r="L12" s="23">
        <f t="shared" si="47"/>
        <v>3600</v>
      </c>
      <c r="M12" s="12">
        <f>L12</f>
        <v>3600</v>
      </c>
      <c r="N12" s="12">
        <f t="shared" ref="N12:Q12" si="48">M12</f>
        <v>3600</v>
      </c>
      <c r="O12" s="12">
        <f t="shared" si="48"/>
        <v>3600</v>
      </c>
      <c r="P12" s="12">
        <f t="shared" si="48"/>
        <v>3600</v>
      </c>
      <c r="Q12" s="12">
        <f t="shared" si="48"/>
        <v>3600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</row>
    <row r="13" spans="1:51">
      <c r="B13" s="2" t="s">
        <v>15</v>
      </c>
      <c r="H13" s="10">
        <v>250</v>
      </c>
      <c r="I13" s="10">
        <v>300</v>
      </c>
      <c r="J13" s="10">
        <v>350</v>
      </c>
      <c r="K13" s="10">
        <v>400</v>
      </c>
      <c r="L13" s="23">
        <v>450</v>
      </c>
      <c r="M13" s="12">
        <f>M6*M34</f>
        <v>500</v>
      </c>
      <c r="N13" s="12">
        <f t="shared" ref="N13:AY13" si="49">N6*N34</f>
        <v>525</v>
      </c>
      <c r="O13" s="12">
        <f t="shared" si="49"/>
        <v>551.25</v>
      </c>
      <c r="P13" s="12">
        <f t="shared" si="49"/>
        <v>578.8125</v>
      </c>
      <c r="Q13" s="12">
        <f t="shared" si="49"/>
        <v>607.75312500000007</v>
      </c>
      <c r="R13" s="12">
        <f t="shared" si="49"/>
        <v>638.14078125000003</v>
      </c>
      <c r="S13" s="12">
        <f t="shared" si="49"/>
        <v>670.04782031249999</v>
      </c>
      <c r="T13" s="12">
        <f t="shared" si="49"/>
        <v>703.55021132812499</v>
      </c>
      <c r="U13" s="12">
        <f t="shared" si="49"/>
        <v>738.72772189453133</v>
      </c>
      <c r="V13" s="12">
        <f t="shared" si="49"/>
        <v>775.6641079892579</v>
      </c>
      <c r="W13" s="12">
        <f t="shared" si="49"/>
        <v>814.44731338872077</v>
      </c>
      <c r="X13" s="12">
        <f t="shared" si="49"/>
        <v>855.16967905815693</v>
      </c>
      <c r="Y13" s="12">
        <f t="shared" si="49"/>
        <v>897.92816301106473</v>
      </c>
      <c r="Z13" s="12">
        <f t="shared" si="49"/>
        <v>942.82457116161811</v>
      </c>
      <c r="AA13" s="12">
        <f t="shared" si="49"/>
        <v>989.96579971969902</v>
      </c>
      <c r="AB13" s="12">
        <f t="shared" si="49"/>
        <v>1039.464089705684</v>
      </c>
      <c r="AC13" s="12">
        <f t="shared" si="49"/>
        <v>1091.4372941909683</v>
      </c>
      <c r="AD13" s="12">
        <f t="shared" si="49"/>
        <v>1146.0091589005167</v>
      </c>
      <c r="AE13" s="12">
        <f t="shared" si="49"/>
        <v>1203.3096168455425</v>
      </c>
      <c r="AF13" s="12">
        <f t="shared" si="49"/>
        <v>1263.4750976878197</v>
      </c>
      <c r="AG13" s="12">
        <f t="shared" si="49"/>
        <v>1326.6488525722107</v>
      </c>
      <c r="AH13" s="12">
        <f t="shared" si="49"/>
        <v>1392.9812952008213</v>
      </c>
      <c r="AI13" s="12">
        <f t="shared" si="49"/>
        <v>1462.6303599608623</v>
      </c>
      <c r="AJ13" s="12">
        <f t="shared" si="49"/>
        <v>1535.7618779589056</v>
      </c>
      <c r="AK13" s="12">
        <f t="shared" si="49"/>
        <v>1612.549971856851</v>
      </c>
      <c r="AL13" s="12">
        <f t="shared" si="49"/>
        <v>1693.1774704496936</v>
      </c>
      <c r="AM13" s="12">
        <f t="shared" si="49"/>
        <v>1777.8363439721784</v>
      </c>
      <c r="AN13" s="12">
        <f t="shared" si="49"/>
        <v>1866.7281611707874</v>
      </c>
      <c r="AO13" s="12">
        <f t="shared" si="49"/>
        <v>1960.0645692293267</v>
      </c>
      <c r="AP13" s="12">
        <f t="shared" si="49"/>
        <v>2058.0677976907932</v>
      </c>
      <c r="AQ13" s="12">
        <f t="shared" si="49"/>
        <v>2160.9711875753328</v>
      </c>
      <c r="AR13" s="12">
        <f t="shared" si="49"/>
        <v>2269.0197469540999</v>
      </c>
      <c r="AS13" s="12">
        <f t="shared" si="49"/>
        <v>2382.4707343018049</v>
      </c>
      <c r="AT13" s="12">
        <f t="shared" si="49"/>
        <v>2501.5942710168952</v>
      </c>
      <c r="AU13" s="12">
        <f t="shared" si="49"/>
        <v>2626.6739845677403</v>
      </c>
      <c r="AV13" s="12">
        <f t="shared" si="49"/>
        <v>2758.0076837961274</v>
      </c>
      <c r="AW13" s="12">
        <f t="shared" si="49"/>
        <v>2895.9080679859339</v>
      </c>
      <c r="AX13" s="12">
        <f t="shared" si="49"/>
        <v>3040.7034713852308</v>
      </c>
      <c r="AY13" s="12">
        <f t="shared" si="49"/>
        <v>3192.7386449544924</v>
      </c>
    </row>
    <row r="14" spans="1:51">
      <c r="B14" s="2" t="s">
        <v>16</v>
      </c>
      <c r="H14" s="10">
        <v>4500</v>
      </c>
      <c r="I14" s="10">
        <v>5400</v>
      </c>
      <c r="J14" s="10">
        <v>6300</v>
      </c>
      <c r="K14" s="10">
        <v>7200</v>
      </c>
      <c r="L14" s="23">
        <v>8100</v>
      </c>
      <c r="M14" s="12">
        <f>M35*M6</f>
        <v>10000</v>
      </c>
      <c r="N14" s="12">
        <f t="shared" ref="N14:AY14" si="50">N35*N6</f>
        <v>10500</v>
      </c>
      <c r="O14" s="12">
        <f t="shared" si="50"/>
        <v>11025</v>
      </c>
      <c r="P14" s="12">
        <f t="shared" si="50"/>
        <v>11576.25</v>
      </c>
      <c r="Q14" s="12">
        <f t="shared" si="50"/>
        <v>12155.0625</v>
      </c>
      <c r="R14" s="12">
        <f t="shared" si="50"/>
        <v>12762.815625000001</v>
      </c>
      <c r="S14" s="12">
        <f t="shared" si="50"/>
        <v>13400.956406249999</v>
      </c>
      <c r="T14" s="12">
        <f t="shared" si="50"/>
        <v>14071.004226562502</v>
      </c>
      <c r="U14" s="12">
        <f t="shared" si="50"/>
        <v>14774.554437890627</v>
      </c>
      <c r="V14" s="12">
        <f t="shared" si="50"/>
        <v>15513.282159785158</v>
      </c>
      <c r="W14" s="12">
        <f t="shared" si="50"/>
        <v>16288.946267774416</v>
      </c>
      <c r="X14" s="12">
        <f t="shared" si="50"/>
        <v>17103.393581163138</v>
      </c>
      <c r="Y14" s="12">
        <f t="shared" si="50"/>
        <v>17958.563260221297</v>
      </c>
      <c r="Z14" s="12">
        <f t="shared" si="50"/>
        <v>18856.491423232361</v>
      </c>
      <c r="AA14" s="12">
        <f t="shared" si="50"/>
        <v>19799.315994393983</v>
      </c>
      <c r="AB14" s="12">
        <f t="shared" si="50"/>
        <v>20789.281794113682</v>
      </c>
      <c r="AC14" s="12">
        <f t="shared" si="50"/>
        <v>21828.745883819367</v>
      </c>
      <c r="AD14" s="12">
        <f t="shared" si="50"/>
        <v>22920.183178010335</v>
      </c>
      <c r="AE14" s="12">
        <f t="shared" si="50"/>
        <v>24066.192336910852</v>
      </c>
      <c r="AF14" s="12">
        <f t="shared" si="50"/>
        <v>25269.501953756393</v>
      </c>
      <c r="AG14" s="12">
        <f t="shared" si="50"/>
        <v>26532.977051444213</v>
      </c>
      <c r="AH14" s="12">
        <f t="shared" si="50"/>
        <v>27859.625904016426</v>
      </c>
      <c r="AI14" s="12">
        <f t="shared" si="50"/>
        <v>29252.607199217247</v>
      </c>
      <c r="AJ14" s="12">
        <f t="shared" si="50"/>
        <v>30715.237559178113</v>
      </c>
      <c r="AK14" s="12">
        <f t="shared" si="50"/>
        <v>32250.999437137019</v>
      </c>
      <c r="AL14" s="12">
        <f t="shared" si="50"/>
        <v>33863.549408993873</v>
      </c>
      <c r="AM14" s="12">
        <f t="shared" si="50"/>
        <v>35556.726879443566</v>
      </c>
      <c r="AN14" s="12">
        <f t="shared" si="50"/>
        <v>37334.563223415746</v>
      </c>
      <c r="AO14" s="12">
        <f t="shared" si="50"/>
        <v>39201.291384586533</v>
      </c>
      <c r="AP14" s="12">
        <f t="shared" si="50"/>
        <v>41161.355953815866</v>
      </c>
      <c r="AQ14" s="12">
        <f t="shared" si="50"/>
        <v>43219.423751506663</v>
      </c>
      <c r="AR14" s="12">
        <f t="shared" si="50"/>
        <v>45380.394939081998</v>
      </c>
      <c r="AS14" s="12">
        <f t="shared" si="50"/>
        <v>47649.414686036092</v>
      </c>
      <c r="AT14" s="12">
        <f t="shared" si="50"/>
        <v>50031.885420337901</v>
      </c>
      <c r="AU14" s="12">
        <f t="shared" si="50"/>
        <v>52533.479691354805</v>
      </c>
      <c r="AV14" s="12">
        <f t="shared" si="50"/>
        <v>55160.153675922542</v>
      </c>
      <c r="AW14" s="12">
        <f t="shared" si="50"/>
        <v>57918.161359718681</v>
      </c>
      <c r="AX14" s="12">
        <f t="shared" si="50"/>
        <v>60814.069427704613</v>
      </c>
      <c r="AY14" s="12">
        <f t="shared" si="50"/>
        <v>63854.772899089847</v>
      </c>
    </row>
    <row r="15" spans="1:51">
      <c r="B15" s="2" t="s">
        <v>17</v>
      </c>
      <c r="H15" s="10">
        <f>100*12</f>
        <v>1200</v>
      </c>
      <c r="I15" s="10">
        <f t="shared" ref="I15:L15" si="51">100*12</f>
        <v>1200</v>
      </c>
      <c r="J15" s="10">
        <f t="shared" si="51"/>
        <v>1200</v>
      </c>
      <c r="K15" s="10">
        <f t="shared" si="51"/>
        <v>1200</v>
      </c>
      <c r="L15" s="23">
        <f t="shared" si="51"/>
        <v>1200</v>
      </c>
      <c r="M15" s="12">
        <f>L15</f>
        <v>1200</v>
      </c>
      <c r="N15" s="12">
        <f t="shared" ref="N15:AY15" si="52">M15</f>
        <v>1200</v>
      </c>
      <c r="O15" s="12">
        <f t="shared" si="52"/>
        <v>1200</v>
      </c>
      <c r="P15" s="12">
        <f t="shared" si="52"/>
        <v>1200</v>
      </c>
      <c r="Q15" s="12">
        <f t="shared" si="52"/>
        <v>1200</v>
      </c>
      <c r="R15" s="12">
        <f t="shared" si="52"/>
        <v>1200</v>
      </c>
      <c r="S15" s="12">
        <f t="shared" si="52"/>
        <v>1200</v>
      </c>
      <c r="T15" s="12">
        <f t="shared" si="52"/>
        <v>1200</v>
      </c>
      <c r="U15" s="12">
        <f t="shared" si="52"/>
        <v>1200</v>
      </c>
      <c r="V15" s="12">
        <f t="shared" si="52"/>
        <v>1200</v>
      </c>
      <c r="W15" s="12">
        <f t="shared" si="52"/>
        <v>1200</v>
      </c>
      <c r="X15" s="12">
        <f t="shared" si="52"/>
        <v>1200</v>
      </c>
      <c r="Y15" s="12">
        <f t="shared" si="52"/>
        <v>1200</v>
      </c>
      <c r="Z15" s="12">
        <f t="shared" si="52"/>
        <v>1200</v>
      </c>
      <c r="AA15" s="12">
        <f t="shared" si="52"/>
        <v>1200</v>
      </c>
      <c r="AB15" s="12">
        <f t="shared" si="52"/>
        <v>1200</v>
      </c>
      <c r="AC15" s="12">
        <f t="shared" si="52"/>
        <v>1200</v>
      </c>
      <c r="AD15" s="12">
        <f t="shared" si="52"/>
        <v>1200</v>
      </c>
      <c r="AE15" s="12">
        <f t="shared" si="52"/>
        <v>1200</v>
      </c>
      <c r="AF15" s="12">
        <f t="shared" si="52"/>
        <v>1200</v>
      </c>
      <c r="AG15" s="12">
        <f t="shared" si="52"/>
        <v>1200</v>
      </c>
      <c r="AH15" s="12">
        <f t="shared" si="52"/>
        <v>1200</v>
      </c>
      <c r="AI15" s="12">
        <f t="shared" si="52"/>
        <v>1200</v>
      </c>
      <c r="AJ15" s="12">
        <f t="shared" si="52"/>
        <v>1200</v>
      </c>
      <c r="AK15" s="12">
        <f t="shared" si="52"/>
        <v>1200</v>
      </c>
      <c r="AL15" s="12">
        <f t="shared" si="52"/>
        <v>1200</v>
      </c>
      <c r="AM15" s="12">
        <f t="shared" si="52"/>
        <v>1200</v>
      </c>
      <c r="AN15" s="12">
        <f t="shared" si="52"/>
        <v>1200</v>
      </c>
      <c r="AO15" s="12">
        <f t="shared" si="52"/>
        <v>1200</v>
      </c>
      <c r="AP15" s="12">
        <f t="shared" si="52"/>
        <v>1200</v>
      </c>
      <c r="AQ15" s="12">
        <f t="shared" si="52"/>
        <v>1200</v>
      </c>
      <c r="AR15" s="12">
        <f t="shared" si="52"/>
        <v>1200</v>
      </c>
      <c r="AS15" s="12">
        <f t="shared" si="52"/>
        <v>1200</v>
      </c>
      <c r="AT15" s="12">
        <f t="shared" si="52"/>
        <v>1200</v>
      </c>
      <c r="AU15" s="12">
        <f t="shared" si="52"/>
        <v>1200</v>
      </c>
      <c r="AV15" s="12">
        <f t="shared" si="52"/>
        <v>1200</v>
      </c>
      <c r="AW15" s="12">
        <f t="shared" si="52"/>
        <v>1200</v>
      </c>
      <c r="AX15" s="12">
        <f t="shared" si="52"/>
        <v>1200</v>
      </c>
      <c r="AY15" s="12">
        <f t="shared" si="52"/>
        <v>1200</v>
      </c>
    </row>
    <row r="16" spans="1:51">
      <c r="B16" s="2" t="s">
        <v>5</v>
      </c>
      <c r="H16" s="10">
        <v>6000</v>
      </c>
      <c r="I16" s="10">
        <v>7200</v>
      </c>
      <c r="J16" s="10">
        <v>8400</v>
      </c>
      <c r="K16" s="10">
        <v>9600</v>
      </c>
      <c r="L16" s="23">
        <v>10800</v>
      </c>
      <c r="M16" s="12">
        <f>M37*M6</f>
        <v>12000</v>
      </c>
      <c r="N16" s="12">
        <f t="shared" ref="N16:AY16" si="53">N37*N6</f>
        <v>12600</v>
      </c>
      <c r="O16" s="12">
        <f t="shared" si="53"/>
        <v>13230</v>
      </c>
      <c r="P16" s="12">
        <f t="shared" si="53"/>
        <v>13891.5</v>
      </c>
      <c r="Q16" s="12">
        <f t="shared" si="53"/>
        <v>14586.074999999999</v>
      </c>
      <c r="R16" s="12">
        <f t="shared" si="53"/>
        <v>15315.37875</v>
      </c>
      <c r="S16" s="12">
        <f t="shared" si="53"/>
        <v>16081.147687499999</v>
      </c>
      <c r="T16" s="12">
        <f t="shared" si="53"/>
        <v>16885.205071875</v>
      </c>
      <c r="U16" s="12">
        <f t="shared" si="53"/>
        <v>17729.465325468751</v>
      </c>
      <c r="V16" s="12">
        <f t="shared" si="53"/>
        <v>18615.93859174219</v>
      </c>
      <c r="W16" s="12">
        <f t="shared" si="53"/>
        <v>19546.735521329298</v>
      </c>
      <c r="X16" s="12">
        <f t="shared" si="53"/>
        <v>20524.072297395764</v>
      </c>
      <c r="Y16" s="12">
        <f t="shared" si="53"/>
        <v>21550.275912265552</v>
      </c>
      <c r="Z16" s="12">
        <f t="shared" si="53"/>
        <v>22627.789707878834</v>
      </c>
      <c r="AA16" s="12">
        <f t="shared" si="53"/>
        <v>23759.179193272776</v>
      </c>
      <c r="AB16" s="12">
        <f t="shared" si="53"/>
        <v>24947.138152936415</v>
      </c>
      <c r="AC16" s="12">
        <f t="shared" si="53"/>
        <v>26194.495060583238</v>
      </c>
      <c r="AD16" s="12">
        <f t="shared" si="53"/>
        <v>27504.219813612399</v>
      </c>
      <c r="AE16" s="12">
        <f t="shared" si="53"/>
        <v>28879.430804293017</v>
      </c>
      <c r="AF16" s="12">
        <f t="shared" si="53"/>
        <v>30323.402344507671</v>
      </c>
      <c r="AG16" s="12">
        <f t="shared" si="53"/>
        <v>31839.572461733052</v>
      </c>
      <c r="AH16" s="12">
        <f t="shared" si="53"/>
        <v>33431.551084819708</v>
      </c>
      <c r="AI16" s="12">
        <f t="shared" si="53"/>
        <v>35103.128639060691</v>
      </c>
      <c r="AJ16" s="12">
        <f t="shared" si="53"/>
        <v>36858.285071013728</v>
      </c>
      <c r="AK16" s="12">
        <f t="shared" si="53"/>
        <v>38701.199324564419</v>
      </c>
      <c r="AL16" s="12">
        <f t="shared" si="53"/>
        <v>40636.259290792645</v>
      </c>
      <c r="AM16" s="12">
        <f t="shared" si="53"/>
        <v>42668.072255332278</v>
      </c>
      <c r="AN16" s="12">
        <f t="shared" si="53"/>
        <v>44801.475868098896</v>
      </c>
      <c r="AO16" s="12">
        <f t="shared" si="53"/>
        <v>47041.549661503843</v>
      </c>
      <c r="AP16" s="12">
        <f t="shared" si="53"/>
        <v>49393.627144579033</v>
      </c>
      <c r="AQ16" s="12">
        <f t="shared" si="53"/>
        <v>51863.308501807987</v>
      </c>
      <c r="AR16" s="12">
        <f t="shared" si="53"/>
        <v>54456.47392689839</v>
      </c>
      <c r="AS16" s="12">
        <f t="shared" si="53"/>
        <v>57179.297623243307</v>
      </c>
      <c r="AT16" s="12">
        <f t="shared" si="53"/>
        <v>60038.26250440548</v>
      </c>
      <c r="AU16" s="12">
        <f t="shared" si="53"/>
        <v>63040.175629625759</v>
      </c>
      <c r="AV16" s="12">
        <f t="shared" si="53"/>
        <v>66192.184411107053</v>
      </c>
      <c r="AW16" s="12">
        <f t="shared" si="53"/>
        <v>69501.793631662411</v>
      </c>
      <c r="AX16" s="12">
        <f t="shared" si="53"/>
        <v>72976.883313245533</v>
      </c>
      <c r="AY16" s="12">
        <f t="shared" si="53"/>
        <v>76625.727478907807</v>
      </c>
    </row>
    <row r="17" spans="2:51">
      <c r="H17" s="9"/>
      <c r="I17" s="9"/>
      <c r="J17" s="9"/>
      <c r="K17" s="9"/>
      <c r="L17" s="2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</row>
    <row r="18" spans="2:51">
      <c r="B18" s="3"/>
      <c r="C18" s="3" t="s">
        <v>9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25">
        <f>SUM(L11:L17)</f>
        <v>42150</v>
      </c>
      <c r="M18" s="12">
        <f t="shared" ref="M18:AY18" si="54">SUM(M11:M17)</f>
        <v>45300</v>
      </c>
      <c r="N18" s="12">
        <f t="shared" si="54"/>
        <v>46425</v>
      </c>
      <c r="O18" s="12">
        <f t="shared" si="54"/>
        <v>47606.25</v>
      </c>
      <c r="P18" s="12">
        <f t="shared" si="54"/>
        <v>48846.5625</v>
      </c>
      <c r="Q18" s="12">
        <f t="shared" si="54"/>
        <v>50148.890625</v>
      </c>
      <c r="R18" s="12">
        <f t="shared" si="54"/>
        <v>47916.335156250003</v>
      </c>
      <c r="S18" s="12">
        <f t="shared" si="54"/>
        <v>49352.151914062495</v>
      </c>
      <c r="T18" s="12">
        <f t="shared" si="54"/>
        <v>50859.75950976563</v>
      </c>
      <c r="U18" s="12">
        <f t="shared" si="54"/>
        <v>52442.747485253909</v>
      </c>
      <c r="V18" s="12">
        <f t="shared" si="54"/>
        <v>54104.884859516606</v>
      </c>
      <c r="W18" s="12">
        <f t="shared" si="54"/>
        <v>55850.129102492436</v>
      </c>
      <c r="X18" s="12">
        <f t="shared" si="54"/>
        <v>57682.635557617061</v>
      </c>
      <c r="Y18" s="12">
        <f t="shared" si="54"/>
        <v>59606.76733549792</v>
      </c>
      <c r="Z18" s="12">
        <f t="shared" si="54"/>
        <v>61627.10570227282</v>
      </c>
      <c r="AA18" s="12">
        <f t="shared" si="54"/>
        <v>63748.460987386454</v>
      </c>
      <c r="AB18" s="12">
        <f t="shared" si="54"/>
        <v>65975.884036755786</v>
      </c>
      <c r="AC18" s="12">
        <f t="shared" si="54"/>
        <v>68314.67823859358</v>
      </c>
      <c r="AD18" s="12">
        <f t="shared" si="54"/>
        <v>70770.412150523247</v>
      </c>
      <c r="AE18" s="12">
        <f t="shared" si="54"/>
        <v>73348.932758049414</v>
      </c>
      <c r="AF18" s="12">
        <f t="shared" si="54"/>
        <v>76056.379395951881</v>
      </c>
      <c r="AG18" s="12">
        <f t="shared" si="54"/>
        <v>78899.198365749471</v>
      </c>
      <c r="AH18" s="12">
        <f t="shared" si="54"/>
        <v>81884.158284036967</v>
      </c>
      <c r="AI18" s="12">
        <f t="shared" si="54"/>
        <v>85018.3661982388</v>
      </c>
      <c r="AJ18" s="12">
        <f t="shared" si="54"/>
        <v>88309.28450815074</v>
      </c>
      <c r="AK18" s="12">
        <f t="shared" si="54"/>
        <v>91764.748733558285</v>
      </c>
      <c r="AL18" s="12">
        <f t="shared" si="54"/>
        <v>77392.98617023621</v>
      </c>
      <c r="AM18" s="12">
        <f t="shared" si="54"/>
        <v>81202.635478748023</v>
      </c>
      <c r="AN18" s="12">
        <f t="shared" si="54"/>
        <v>85202.767252685429</v>
      </c>
      <c r="AO18" s="12">
        <f t="shared" si="54"/>
        <v>89402.905615319702</v>
      </c>
      <c r="AP18" s="12">
        <f t="shared" si="54"/>
        <v>93813.050896085682</v>
      </c>
      <c r="AQ18" s="12">
        <f t="shared" si="54"/>
        <v>98443.703440889978</v>
      </c>
      <c r="AR18" s="12">
        <f t="shared" si="54"/>
        <v>103305.88861293449</v>
      </c>
      <c r="AS18" s="12">
        <f t="shared" si="54"/>
        <v>108411.1830435812</v>
      </c>
      <c r="AT18" s="12">
        <f t="shared" si="54"/>
        <v>113771.74219576028</v>
      </c>
      <c r="AU18" s="12">
        <f t="shared" si="54"/>
        <v>119400.32930554831</v>
      </c>
      <c r="AV18" s="12">
        <f t="shared" si="54"/>
        <v>125310.34577082572</v>
      </c>
      <c r="AW18" s="12">
        <f t="shared" si="54"/>
        <v>131515.86305936702</v>
      </c>
      <c r="AX18" s="12">
        <f t="shared" si="54"/>
        <v>138031.65621233539</v>
      </c>
      <c r="AY18" s="12">
        <f t="shared" si="54"/>
        <v>144873.23902295216</v>
      </c>
    </row>
    <row r="19" spans="2:51">
      <c r="H19" s="12"/>
      <c r="I19" s="12"/>
      <c r="J19" s="12"/>
      <c r="K19" s="12"/>
      <c r="L19" s="25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</row>
    <row r="20" spans="2:51">
      <c r="B20" s="1" t="s">
        <v>10</v>
      </c>
      <c r="C20" s="1"/>
      <c r="D20" s="1"/>
      <c r="E20" s="1"/>
      <c r="F20" s="1"/>
      <c r="G20" s="1"/>
      <c r="H20" s="13">
        <f>H8-H18</f>
        <v>16450</v>
      </c>
      <c r="I20" s="13">
        <f>I8-I18</f>
        <v>24300</v>
      </c>
      <c r="J20" s="13">
        <f>J8-J18</f>
        <v>32150</v>
      </c>
      <c r="K20" s="13">
        <f>K8-K18</f>
        <v>40000</v>
      </c>
      <c r="L20" s="26">
        <f>L8-L18</f>
        <v>47850</v>
      </c>
      <c r="M20" s="13">
        <f t="shared" ref="M20:AY20" si="55">M8-M18</f>
        <v>54700</v>
      </c>
      <c r="N20" s="13">
        <f t="shared" si="55"/>
        <v>58575</v>
      </c>
      <c r="O20" s="13">
        <f t="shared" si="55"/>
        <v>62643.75</v>
      </c>
      <c r="P20" s="13">
        <f t="shared" si="55"/>
        <v>66915.9375</v>
      </c>
      <c r="Q20" s="13">
        <f t="shared" si="55"/>
        <v>71401.734375</v>
      </c>
      <c r="R20" s="13">
        <f t="shared" si="55"/>
        <v>79711.821093749997</v>
      </c>
      <c r="S20" s="13">
        <f t="shared" si="55"/>
        <v>84657.412148437492</v>
      </c>
      <c r="T20" s="13">
        <f t="shared" si="55"/>
        <v>89850.282755859371</v>
      </c>
      <c r="U20" s="13">
        <f t="shared" si="55"/>
        <v>95302.796893652354</v>
      </c>
      <c r="V20" s="13">
        <f t="shared" si="55"/>
        <v>101027.93673833497</v>
      </c>
      <c r="W20" s="13">
        <f t="shared" si="55"/>
        <v>107039.33357525172</v>
      </c>
      <c r="X20" s="13">
        <f t="shared" si="55"/>
        <v>113351.30025401432</v>
      </c>
      <c r="Y20" s="13">
        <f t="shared" si="55"/>
        <v>119978.86526671503</v>
      </c>
      <c r="Z20" s="13">
        <f t="shared" si="55"/>
        <v>126937.8085300508</v>
      </c>
      <c r="AA20" s="13">
        <f t="shared" si="55"/>
        <v>134244.69895655336</v>
      </c>
      <c r="AB20" s="13">
        <f t="shared" si="55"/>
        <v>141916.933904381</v>
      </c>
      <c r="AC20" s="13">
        <f t="shared" si="55"/>
        <v>149972.78059960005</v>
      </c>
      <c r="AD20" s="13">
        <f t="shared" si="55"/>
        <v>158431.41962958008</v>
      </c>
      <c r="AE20" s="13">
        <f t="shared" si="55"/>
        <v>167312.99061105907</v>
      </c>
      <c r="AF20" s="13">
        <f t="shared" si="55"/>
        <v>176638.64014161204</v>
      </c>
      <c r="AG20" s="13">
        <f t="shared" si="55"/>
        <v>186430.57214869265</v>
      </c>
      <c r="AH20" s="13">
        <f t="shared" si="55"/>
        <v>196712.10075612727</v>
      </c>
      <c r="AI20" s="13">
        <f t="shared" si="55"/>
        <v>207507.70579393365</v>
      </c>
      <c r="AJ20" s="13">
        <f t="shared" si="55"/>
        <v>218843.09108363037</v>
      </c>
      <c r="AK20" s="13">
        <f t="shared" si="55"/>
        <v>230745.24563781189</v>
      </c>
      <c r="AL20" s="13">
        <f t="shared" si="55"/>
        <v>261242.5079197025</v>
      </c>
      <c r="AM20" s="13">
        <f t="shared" si="55"/>
        <v>274364.63331568765</v>
      </c>
      <c r="AN20" s="13">
        <f t="shared" si="55"/>
        <v>288142.86498147203</v>
      </c>
      <c r="AO20" s="13">
        <f t="shared" si="55"/>
        <v>302610.00823054567</v>
      </c>
      <c r="AP20" s="13">
        <f t="shared" si="55"/>
        <v>317800.50864207296</v>
      </c>
      <c r="AQ20" s="13">
        <f t="shared" si="55"/>
        <v>333750.53407417657</v>
      </c>
      <c r="AR20" s="13">
        <f t="shared" si="55"/>
        <v>350498.06077788543</v>
      </c>
      <c r="AS20" s="13">
        <f t="shared" si="55"/>
        <v>368082.96381677972</v>
      </c>
      <c r="AT20" s="13">
        <f t="shared" si="55"/>
        <v>386547.11200761877</v>
      </c>
      <c r="AU20" s="13">
        <f t="shared" si="55"/>
        <v>405934.46760799969</v>
      </c>
      <c r="AV20" s="13">
        <f t="shared" si="55"/>
        <v>426291.19098839967</v>
      </c>
      <c r="AW20" s="13">
        <f t="shared" si="55"/>
        <v>447665.75053781969</v>
      </c>
      <c r="AX20" s="13">
        <f t="shared" si="55"/>
        <v>470109.03806471074</v>
      </c>
      <c r="AY20" s="13">
        <f t="shared" si="55"/>
        <v>493674.48996794631</v>
      </c>
    </row>
    <row r="21" spans="2:51">
      <c r="H21" s="12"/>
      <c r="I21" s="12"/>
      <c r="J21" s="12"/>
      <c r="K21" s="12"/>
      <c r="L21" s="25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</row>
    <row r="22" spans="2:51">
      <c r="B22" s="2" t="s">
        <v>0</v>
      </c>
      <c r="H22" s="10">
        <f>28%*H6</f>
        <v>14000.000000000002</v>
      </c>
      <c r="I22" s="10">
        <f t="shared" ref="I22:L22" si="56">28%*I6</f>
        <v>16800</v>
      </c>
      <c r="J22" s="10">
        <f t="shared" si="56"/>
        <v>19600.000000000004</v>
      </c>
      <c r="K22" s="10">
        <f t="shared" si="56"/>
        <v>22400.000000000004</v>
      </c>
      <c r="L22" s="23">
        <f t="shared" si="56"/>
        <v>25200.000000000004</v>
      </c>
      <c r="M22" s="12">
        <f>M6*M38</f>
        <v>25000</v>
      </c>
      <c r="N22" s="12">
        <f t="shared" ref="N22:AY22" si="57">N6*N38</f>
        <v>26250</v>
      </c>
      <c r="O22" s="12">
        <f t="shared" si="57"/>
        <v>27562.5</v>
      </c>
      <c r="P22" s="12">
        <f t="shared" si="57"/>
        <v>28940.625</v>
      </c>
      <c r="Q22" s="12">
        <f t="shared" si="57"/>
        <v>30387.65625</v>
      </c>
      <c r="R22" s="12">
        <f t="shared" si="57"/>
        <v>31907.0390625</v>
      </c>
      <c r="S22" s="12">
        <f t="shared" si="57"/>
        <v>33502.391015624999</v>
      </c>
      <c r="T22" s="12">
        <f t="shared" si="57"/>
        <v>35177.51056640625</v>
      </c>
      <c r="U22" s="12">
        <f t="shared" si="57"/>
        <v>36936.386094726564</v>
      </c>
      <c r="V22" s="12">
        <f t="shared" si="57"/>
        <v>38783.205399462895</v>
      </c>
      <c r="W22" s="12">
        <f t="shared" si="57"/>
        <v>40722.36566943604</v>
      </c>
      <c r="X22" s="12">
        <f t="shared" si="57"/>
        <v>42758.483952907845</v>
      </c>
      <c r="Y22" s="12">
        <f t="shared" si="57"/>
        <v>44896.408150553238</v>
      </c>
      <c r="Z22" s="12">
        <f t="shared" si="57"/>
        <v>47141.228558080904</v>
      </c>
      <c r="AA22" s="12">
        <f t="shared" si="57"/>
        <v>49498.289985984949</v>
      </c>
      <c r="AB22" s="12">
        <f t="shared" si="57"/>
        <v>51973.204485284201</v>
      </c>
      <c r="AC22" s="12">
        <f t="shared" si="57"/>
        <v>54571.864709548412</v>
      </c>
      <c r="AD22" s="12">
        <f t="shared" si="57"/>
        <v>57300.457945025832</v>
      </c>
      <c r="AE22" s="12">
        <f t="shared" si="57"/>
        <v>60165.480842277124</v>
      </c>
      <c r="AF22" s="12">
        <f t="shared" si="57"/>
        <v>63173.754884390983</v>
      </c>
      <c r="AG22" s="12">
        <f t="shared" si="57"/>
        <v>66332.44262861053</v>
      </c>
      <c r="AH22" s="12">
        <f t="shared" si="57"/>
        <v>69649.064760041059</v>
      </c>
      <c r="AI22" s="12">
        <f t="shared" si="57"/>
        <v>73131.517998043113</v>
      </c>
      <c r="AJ22" s="12">
        <f t="shared" si="57"/>
        <v>76788.093897945277</v>
      </c>
      <c r="AK22" s="12">
        <f t="shared" si="57"/>
        <v>80627.498592842545</v>
      </c>
      <c r="AL22" s="12">
        <f t="shared" si="57"/>
        <v>84658.873522484675</v>
      </c>
      <c r="AM22" s="12">
        <f t="shared" si="57"/>
        <v>88891.817198608915</v>
      </c>
      <c r="AN22" s="12">
        <f t="shared" si="57"/>
        <v>93336.408058539368</v>
      </c>
      <c r="AO22" s="12">
        <f t="shared" si="57"/>
        <v>98003.228461466337</v>
      </c>
      <c r="AP22" s="12">
        <f t="shared" si="57"/>
        <v>102903.38988453966</v>
      </c>
      <c r="AQ22" s="12">
        <f t="shared" si="57"/>
        <v>108048.55937876664</v>
      </c>
      <c r="AR22" s="12">
        <f t="shared" si="57"/>
        <v>113450.98734770498</v>
      </c>
      <c r="AS22" s="12">
        <f t="shared" si="57"/>
        <v>119123.53671509023</v>
      </c>
      <c r="AT22" s="12">
        <f t="shared" si="57"/>
        <v>125079.71355084475</v>
      </c>
      <c r="AU22" s="12">
        <f t="shared" si="57"/>
        <v>131333.69922838701</v>
      </c>
      <c r="AV22" s="12">
        <f t="shared" si="57"/>
        <v>137900.38418980635</v>
      </c>
      <c r="AW22" s="12">
        <f t="shared" si="57"/>
        <v>144795.40339929669</v>
      </c>
      <c r="AX22" s="12">
        <f t="shared" si="57"/>
        <v>152035.17356926153</v>
      </c>
      <c r="AY22" s="12">
        <f t="shared" si="57"/>
        <v>159636.93224772462</v>
      </c>
    </row>
    <row r="23" spans="2:51">
      <c r="H23" s="12"/>
      <c r="I23" s="12"/>
      <c r="J23" s="12"/>
      <c r="K23" s="12"/>
      <c r="L23" s="25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</row>
    <row r="24" spans="2:51">
      <c r="B24" s="1" t="s">
        <v>3</v>
      </c>
      <c r="C24" s="1"/>
      <c r="D24" s="1"/>
      <c r="E24" s="1"/>
      <c r="F24" s="1"/>
      <c r="G24" s="1"/>
      <c r="H24" s="38">
        <f>H20-H22</f>
        <v>2449.9999999999982</v>
      </c>
      <c r="I24" s="38">
        <f t="shared" ref="I24:L24" si="58">I20-I22</f>
        <v>7500</v>
      </c>
      <c r="J24" s="38">
        <f t="shared" si="58"/>
        <v>12549.999999999996</v>
      </c>
      <c r="K24" s="38">
        <f t="shared" si="58"/>
        <v>17599.999999999996</v>
      </c>
      <c r="L24" s="37">
        <f t="shared" si="58"/>
        <v>22649.999999999996</v>
      </c>
      <c r="M24" s="13">
        <f>M20-M22</f>
        <v>29700</v>
      </c>
      <c r="N24" s="13">
        <f t="shared" ref="N24:AY24" si="59">N20-N22</f>
        <v>32325</v>
      </c>
      <c r="O24" s="13">
        <f t="shared" si="59"/>
        <v>35081.25</v>
      </c>
      <c r="P24" s="13">
        <f t="shared" si="59"/>
        <v>37975.3125</v>
      </c>
      <c r="Q24" s="13">
        <f t="shared" si="59"/>
        <v>41014.078125</v>
      </c>
      <c r="R24" s="13">
        <f t="shared" si="59"/>
        <v>47804.782031249997</v>
      </c>
      <c r="S24" s="13">
        <f t="shared" si="59"/>
        <v>51155.021132812493</v>
      </c>
      <c r="T24" s="13">
        <f t="shared" si="59"/>
        <v>54672.772189453121</v>
      </c>
      <c r="U24" s="13">
        <f t="shared" si="59"/>
        <v>58366.41079892579</v>
      </c>
      <c r="V24" s="13">
        <f t="shared" si="59"/>
        <v>62244.73133887208</v>
      </c>
      <c r="W24" s="13">
        <f t="shared" si="59"/>
        <v>66316.967905815676</v>
      </c>
      <c r="X24" s="13">
        <f t="shared" si="59"/>
        <v>70592.816301106475</v>
      </c>
      <c r="Y24" s="13">
        <f t="shared" si="59"/>
        <v>75082.457116161793</v>
      </c>
      <c r="Z24" s="13">
        <f t="shared" si="59"/>
        <v>79796.579971969884</v>
      </c>
      <c r="AA24" s="13">
        <f t="shared" si="59"/>
        <v>84746.408970568416</v>
      </c>
      <c r="AB24" s="13">
        <f t="shared" si="59"/>
        <v>89943.72941909681</v>
      </c>
      <c r="AC24" s="13">
        <f t="shared" si="59"/>
        <v>95400.915890051634</v>
      </c>
      <c r="AD24" s="13">
        <f t="shared" si="59"/>
        <v>101130.96168455425</v>
      </c>
      <c r="AE24" s="13">
        <f t="shared" si="59"/>
        <v>107147.50976878195</v>
      </c>
      <c r="AF24" s="13">
        <f t="shared" si="59"/>
        <v>113464.88525722106</v>
      </c>
      <c r="AG24" s="13">
        <f t="shared" si="59"/>
        <v>120098.12952008212</v>
      </c>
      <c r="AH24" s="13">
        <f t="shared" si="59"/>
        <v>127063.03599608621</v>
      </c>
      <c r="AI24" s="13">
        <f t="shared" si="59"/>
        <v>134376.18779589055</v>
      </c>
      <c r="AJ24" s="13">
        <f t="shared" si="59"/>
        <v>142054.99718568509</v>
      </c>
      <c r="AK24" s="13">
        <f t="shared" si="59"/>
        <v>150117.74704496935</v>
      </c>
      <c r="AL24" s="13">
        <f t="shared" si="59"/>
        <v>176583.63439721783</v>
      </c>
      <c r="AM24" s="13">
        <f t="shared" si="59"/>
        <v>185472.81611707874</v>
      </c>
      <c r="AN24" s="13">
        <f t="shared" si="59"/>
        <v>194806.45692293264</v>
      </c>
      <c r="AO24" s="13">
        <f t="shared" si="59"/>
        <v>204606.77976907935</v>
      </c>
      <c r="AP24" s="13">
        <f t="shared" si="59"/>
        <v>214897.11875753332</v>
      </c>
      <c r="AQ24" s="13">
        <f t="shared" si="59"/>
        <v>225701.97469540994</v>
      </c>
      <c r="AR24" s="13">
        <f t="shared" si="59"/>
        <v>237047.07343018043</v>
      </c>
      <c r="AS24" s="13">
        <f t="shared" si="59"/>
        <v>248959.42710168951</v>
      </c>
      <c r="AT24" s="13">
        <f t="shared" si="59"/>
        <v>261467.39845677401</v>
      </c>
      <c r="AU24" s="13">
        <f t="shared" si="59"/>
        <v>274600.76837961271</v>
      </c>
      <c r="AV24" s="13">
        <f t="shared" si="59"/>
        <v>288390.80679859332</v>
      </c>
      <c r="AW24" s="13">
        <f t="shared" si="59"/>
        <v>302870.34713852301</v>
      </c>
      <c r="AX24" s="13">
        <f t="shared" si="59"/>
        <v>318073.86449544923</v>
      </c>
      <c r="AY24" s="13">
        <f t="shared" si="59"/>
        <v>334037.5577202217</v>
      </c>
    </row>
    <row r="25" spans="2:51">
      <c r="L25" s="26"/>
    </row>
    <row r="26" spans="2:51">
      <c r="B26" s="2" t="s">
        <v>27</v>
      </c>
      <c r="H26" s="8">
        <f>0+H24</f>
        <v>2449.9999999999982</v>
      </c>
      <c r="I26" s="8">
        <f>H26*(1+1%)+I24</f>
        <v>9974.4999999999982</v>
      </c>
      <c r="J26" s="8">
        <f t="shared" ref="J26:L26" si="60">I26*(1+1%)+J24</f>
        <v>22624.244999999995</v>
      </c>
      <c r="K26" s="8">
        <f t="shared" si="60"/>
        <v>40450.487449999993</v>
      </c>
      <c r="L26" s="32">
        <f t="shared" si="60"/>
        <v>63504.992324499995</v>
      </c>
      <c r="M26" s="8">
        <f>L26*(1+M39)+M24</f>
        <v>94475.092170989999</v>
      </c>
      <c r="N26" s="8">
        <f t="shared" ref="N26:AY26" si="61">M26*(1+N39)+N24</f>
        <v>128689.5940144098</v>
      </c>
      <c r="O26" s="8">
        <f t="shared" si="61"/>
        <v>166344.635894698</v>
      </c>
      <c r="P26" s="8">
        <f t="shared" si="61"/>
        <v>207646.84111259197</v>
      </c>
      <c r="Q26" s="8">
        <f t="shared" si="61"/>
        <v>252813.85605984382</v>
      </c>
      <c r="R26" s="8">
        <f t="shared" si="61"/>
        <v>305674.91521229071</v>
      </c>
      <c r="S26" s="8">
        <f t="shared" si="61"/>
        <v>362943.43464934902</v>
      </c>
      <c r="T26" s="8">
        <f t="shared" si="61"/>
        <v>424875.0755317891</v>
      </c>
      <c r="U26" s="8">
        <f t="shared" si="61"/>
        <v>491738.98784135067</v>
      </c>
      <c r="V26" s="8">
        <f t="shared" si="61"/>
        <v>563818.49893704976</v>
      </c>
      <c r="W26" s="8">
        <f t="shared" si="61"/>
        <v>641411.8368216065</v>
      </c>
      <c r="X26" s="8">
        <f t="shared" si="61"/>
        <v>724832.88985914516</v>
      </c>
      <c r="Y26" s="8">
        <f t="shared" si="61"/>
        <v>814412.00477248989</v>
      </c>
      <c r="Z26" s="8">
        <f t="shared" si="61"/>
        <v>910496.82483990956</v>
      </c>
      <c r="AA26" s="8">
        <f t="shared" si="61"/>
        <v>1013453.1703072762</v>
      </c>
      <c r="AB26" s="8">
        <f t="shared" si="61"/>
        <v>1123665.9631325186</v>
      </c>
      <c r="AC26" s="8">
        <f t="shared" si="61"/>
        <v>1241540.1982852207</v>
      </c>
      <c r="AD26" s="8">
        <f t="shared" si="61"/>
        <v>1367501.9639354795</v>
      </c>
      <c r="AE26" s="8">
        <f t="shared" si="61"/>
        <v>1501999.512982971</v>
      </c>
      <c r="AF26" s="8">
        <f t="shared" si="61"/>
        <v>1645504.3884998516</v>
      </c>
      <c r="AG26" s="8">
        <f t="shared" si="61"/>
        <v>1798512.6057899308</v>
      </c>
      <c r="AH26" s="8">
        <f t="shared" si="61"/>
        <v>1961545.8939018156</v>
      </c>
      <c r="AI26" s="8">
        <f t="shared" si="61"/>
        <v>2135152.9995757425</v>
      </c>
      <c r="AJ26" s="8">
        <f t="shared" si="61"/>
        <v>2319911.0567529425</v>
      </c>
      <c r="AK26" s="8">
        <f t="shared" si="61"/>
        <v>2516427.0249329708</v>
      </c>
      <c r="AL26" s="8">
        <f t="shared" si="61"/>
        <v>2743339.1998288482</v>
      </c>
      <c r="AM26" s="8">
        <f t="shared" si="61"/>
        <v>2983678.7999425037</v>
      </c>
      <c r="AN26" s="8">
        <f t="shared" si="61"/>
        <v>3238158.8328642864</v>
      </c>
      <c r="AO26" s="8">
        <f t="shared" si="61"/>
        <v>3507528.7892906517</v>
      </c>
      <c r="AP26" s="8">
        <f t="shared" si="61"/>
        <v>3792576.483833998</v>
      </c>
      <c r="AQ26" s="8">
        <f t="shared" si="61"/>
        <v>4094129.9882060881</v>
      </c>
      <c r="AR26" s="8">
        <f t="shared" si="61"/>
        <v>4413059.6614003899</v>
      </c>
      <c r="AS26" s="8">
        <f t="shared" si="61"/>
        <v>4750280.2817300875</v>
      </c>
      <c r="AT26" s="8">
        <f t="shared" si="61"/>
        <v>5106753.285821463</v>
      </c>
      <c r="AU26" s="8">
        <f t="shared" si="61"/>
        <v>5483489.1199175054</v>
      </c>
      <c r="AV26" s="8">
        <f t="shared" si="61"/>
        <v>5881549.7091144491</v>
      </c>
      <c r="AW26" s="8">
        <f t="shared" si="61"/>
        <v>6302051.0504352609</v>
      </c>
      <c r="AX26" s="8">
        <f t="shared" si="61"/>
        <v>6746165.9359394163</v>
      </c>
      <c r="AY26" s="46">
        <f t="shared" si="61"/>
        <v>7215126.8123784261</v>
      </c>
    </row>
    <row r="27" spans="2:51">
      <c r="L27" s="20"/>
    </row>
    <row r="28" spans="2:51">
      <c r="L28" s="20"/>
    </row>
    <row r="29" spans="2:51">
      <c r="B29" s="5" t="s">
        <v>11</v>
      </c>
      <c r="L29" s="20"/>
    </row>
    <row r="30" spans="2:51">
      <c r="L30" s="20"/>
    </row>
    <row r="31" spans="2:51">
      <c r="C31" s="2" t="s">
        <v>18</v>
      </c>
      <c r="H31" s="39"/>
      <c r="I31" s="11">
        <f>I6/H6-1</f>
        <v>0.19999999999999996</v>
      </c>
      <c r="J31" s="11">
        <f t="shared" ref="J31:L31" si="62">J6/I6-1</f>
        <v>0.16666666666666674</v>
      </c>
      <c r="K31" s="11">
        <f t="shared" si="62"/>
        <v>0.14285714285714279</v>
      </c>
      <c r="L31" s="24">
        <f t="shared" si="62"/>
        <v>0.125</v>
      </c>
      <c r="M31" s="43">
        <v>0.11111111111111112</v>
      </c>
      <c r="N31" s="43">
        <v>0.05</v>
      </c>
      <c r="O31" s="44">
        <f>N31</f>
        <v>0.05</v>
      </c>
      <c r="P31" s="44">
        <f t="shared" ref="P31:AY31" si="63">O31</f>
        <v>0.05</v>
      </c>
      <c r="Q31" s="44">
        <f t="shared" si="63"/>
        <v>0.05</v>
      </c>
      <c r="R31" s="44">
        <f t="shared" si="63"/>
        <v>0.05</v>
      </c>
      <c r="S31" s="44">
        <f t="shared" si="63"/>
        <v>0.05</v>
      </c>
      <c r="T31" s="44">
        <f t="shared" si="63"/>
        <v>0.05</v>
      </c>
      <c r="U31" s="44">
        <f t="shared" si="63"/>
        <v>0.05</v>
      </c>
      <c r="V31" s="44">
        <f t="shared" si="63"/>
        <v>0.05</v>
      </c>
      <c r="W31" s="44">
        <f t="shared" si="63"/>
        <v>0.05</v>
      </c>
      <c r="X31" s="44">
        <f t="shared" si="63"/>
        <v>0.05</v>
      </c>
      <c r="Y31" s="44">
        <f t="shared" si="63"/>
        <v>0.05</v>
      </c>
      <c r="Z31" s="44">
        <f t="shared" si="63"/>
        <v>0.05</v>
      </c>
      <c r="AA31" s="44">
        <f t="shared" si="63"/>
        <v>0.05</v>
      </c>
      <c r="AB31" s="44">
        <f t="shared" si="63"/>
        <v>0.05</v>
      </c>
      <c r="AC31" s="44">
        <f t="shared" si="63"/>
        <v>0.05</v>
      </c>
      <c r="AD31" s="44">
        <f t="shared" si="63"/>
        <v>0.05</v>
      </c>
      <c r="AE31" s="44">
        <f t="shared" si="63"/>
        <v>0.05</v>
      </c>
      <c r="AF31" s="44">
        <f t="shared" si="63"/>
        <v>0.05</v>
      </c>
      <c r="AG31" s="44">
        <f t="shared" si="63"/>
        <v>0.05</v>
      </c>
      <c r="AH31" s="44">
        <f t="shared" si="63"/>
        <v>0.05</v>
      </c>
      <c r="AI31" s="44">
        <f t="shared" si="63"/>
        <v>0.05</v>
      </c>
      <c r="AJ31" s="44">
        <f t="shared" si="63"/>
        <v>0.05</v>
      </c>
      <c r="AK31" s="44">
        <f t="shared" si="63"/>
        <v>0.05</v>
      </c>
      <c r="AL31" s="44">
        <f t="shared" si="63"/>
        <v>0.05</v>
      </c>
      <c r="AM31" s="44">
        <f t="shared" si="63"/>
        <v>0.05</v>
      </c>
      <c r="AN31" s="44">
        <f t="shared" si="63"/>
        <v>0.05</v>
      </c>
      <c r="AO31" s="44">
        <f t="shared" si="63"/>
        <v>0.05</v>
      </c>
      <c r="AP31" s="44">
        <f t="shared" si="63"/>
        <v>0.05</v>
      </c>
      <c r="AQ31" s="44">
        <f t="shared" si="63"/>
        <v>0.05</v>
      </c>
      <c r="AR31" s="44">
        <f t="shared" si="63"/>
        <v>0.05</v>
      </c>
      <c r="AS31" s="44">
        <f t="shared" si="63"/>
        <v>0.05</v>
      </c>
      <c r="AT31" s="44">
        <f t="shared" si="63"/>
        <v>0.05</v>
      </c>
      <c r="AU31" s="44">
        <f t="shared" si="63"/>
        <v>0.05</v>
      </c>
      <c r="AV31" s="44">
        <f t="shared" si="63"/>
        <v>0.05</v>
      </c>
      <c r="AW31" s="44">
        <f t="shared" si="63"/>
        <v>0.05</v>
      </c>
      <c r="AX31" s="44">
        <f t="shared" si="63"/>
        <v>0.05</v>
      </c>
      <c r="AY31" s="44">
        <f t="shared" si="63"/>
        <v>0.05</v>
      </c>
    </row>
    <row r="32" spans="2:51">
      <c r="C32" s="2" t="s">
        <v>20</v>
      </c>
      <c r="H32" s="11">
        <f>H11/H$6</f>
        <v>0.36</v>
      </c>
      <c r="I32" s="11">
        <f t="shared" ref="I32:L32" si="64">I11/I6</f>
        <v>0.3</v>
      </c>
      <c r="J32" s="11">
        <f t="shared" si="64"/>
        <v>0.25714285714285712</v>
      </c>
      <c r="K32" s="11">
        <f t="shared" si="64"/>
        <v>0.22500000000000001</v>
      </c>
      <c r="L32" s="24">
        <f t="shared" si="64"/>
        <v>0.2</v>
      </c>
      <c r="M32" s="2" t="s">
        <v>28</v>
      </c>
    </row>
    <row r="33" spans="3:51">
      <c r="C33" s="2" t="s">
        <v>19</v>
      </c>
      <c r="H33" s="11">
        <f>H12/H$6</f>
        <v>7.1999999999999995E-2</v>
      </c>
      <c r="I33" s="11">
        <f t="shared" ref="I33:L33" si="65">I12/I$6</f>
        <v>0.06</v>
      </c>
      <c r="J33" s="11">
        <f t="shared" si="65"/>
        <v>5.1428571428571428E-2</v>
      </c>
      <c r="K33" s="11">
        <f t="shared" si="65"/>
        <v>4.4999999999999998E-2</v>
      </c>
      <c r="L33" s="24">
        <f t="shared" si="65"/>
        <v>0.04</v>
      </c>
      <c r="M33" s="2" t="s">
        <v>28</v>
      </c>
    </row>
    <row r="34" spans="3:51">
      <c r="C34" s="2" t="s">
        <v>21</v>
      </c>
      <c r="H34" s="11">
        <f t="shared" ref="H34:L34" si="66">H13/H$6</f>
        <v>5.0000000000000001E-3</v>
      </c>
      <c r="I34" s="11">
        <f t="shared" si="66"/>
        <v>5.0000000000000001E-3</v>
      </c>
      <c r="J34" s="11">
        <f t="shared" si="66"/>
        <v>5.0000000000000001E-3</v>
      </c>
      <c r="K34" s="11">
        <f t="shared" si="66"/>
        <v>5.0000000000000001E-3</v>
      </c>
      <c r="L34" s="24">
        <f t="shared" si="66"/>
        <v>5.0000000000000001E-3</v>
      </c>
      <c r="M34" s="43">
        <v>5.0000000000000001E-3</v>
      </c>
      <c r="N34" s="41">
        <f>M34</f>
        <v>5.0000000000000001E-3</v>
      </c>
      <c r="O34" s="41">
        <f t="shared" ref="O34:AY34" si="67">N34</f>
        <v>5.0000000000000001E-3</v>
      </c>
      <c r="P34" s="41">
        <f t="shared" si="67"/>
        <v>5.0000000000000001E-3</v>
      </c>
      <c r="Q34" s="41">
        <f t="shared" si="67"/>
        <v>5.0000000000000001E-3</v>
      </c>
      <c r="R34" s="41">
        <f t="shared" si="67"/>
        <v>5.0000000000000001E-3</v>
      </c>
      <c r="S34" s="41">
        <f t="shared" si="67"/>
        <v>5.0000000000000001E-3</v>
      </c>
      <c r="T34" s="41">
        <f t="shared" si="67"/>
        <v>5.0000000000000001E-3</v>
      </c>
      <c r="U34" s="41">
        <f t="shared" si="67"/>
        <v>5.0000000000000001E-3</v>
      </c>
      <c r="V34" s="41">
        <f t="shared" si="67"/>
        <v>5.0000000000000001E-3</v>
      </c>
      <c r="W34" s="41">
        <f t="shared" si="67"/>
        <v>5.0000000000000001E-3</v>
      </c>
      <c r="X34" s="41">
        <f t="shared" si="67"/>
        <v>5.0000000000000001E-3</v>
      </c>
      <c r="Y34" s="41">
        <f t="shared" si="67"/>
        <v>5.0000000000000001E-3</v>
      </c>
      <c r="Z34" s="41">
        <f t="shared" si="67"/>
        <v>5.0000000000000001E-3</v>
      </c>
      <c r="AA34" s="41">
        <f t="shared" si="67"/>
        <v>5.0000000000000001E-3</v>
      </c>
      <c r="AB34" s="41">
        <f t="shared" si="67"/>
        <v>5.0000000000000001E-3</v>
      </c>
      <c r="AC34" s="41">
        <f t="shared" si="67"/>
        <v>5.0000000000000001E-3</v>
      </c>
      <c r="AD34" s="41">
        <f t="shared" si="67"/>
        <v>5.0000000000000001E-3</v>
      </c>
      <c r="AE34" s="41">
        <f t="shared" si="67"/>
        <v>5.0000000000000001E-3</v>
      </c>
      <c r="AF34" s="41">
        <f t="shared" si="67"/>
        <v>5.0000000000000001E-3</v>
      </c>
      <c r="AG34" s="41">
        <f t="shared" si="67"/>
        <v>5.0000000000000001E-3</v>
      </c>
      <c r="AH34" s="41">
        <f t="shared" si="67"/>
        <v>5.0000000000000001E-3</v>
      </c>
      <c r="AI34" s="41">
        <f t="shared" si="67"/>
        <v>5.0000000000000001E-3</v>
      </c>
      <c r="AJ34" s="41">
        <f t="shared" si="67"/>
        <v>5.0000000000000001E-3</v>
      </c>
      <c r="AK34" s="41">
        <f t="shared" si="67"/>
        <v>5.0000000000000001E-3</v>
      </c>
      <c r="AL34" s="41">
        <f t="shared" si="67"/>
        <v>5.0000000000000001E-3</v>
      </c>
      <c r="AM34" s="41">
        <f t="shared" si="67"/>
        <v>5.0000000000000001E-3</v>
      </c>
      <c r="AN34" s="41">
        <f t="shared" si="67"/>
        <v>5.0000000000000001E-3</v>
      </c>
      <c r="AO34" s="41">
        <f t="shared" si="67"/>
        <v>5.0000000000000001E-3</v>
      </c>
      <c r="AP34" s="41">
        <f t="shared" si="67"/>
        <v>5.0000000000000001E-3</v>
      </c>
      <c r="AQ34" s="41">
        <f t="shared" si="67"/>
        <v>5.0000000000000001E-3</v>
      </c>
      <c r="AR34" s="41">
        <f t="shared" si="67"/>
        <v>5.0000000000000001E-3</v>
      </c>
      <c r="AS34" s="41">
        <f t="shared" si="67"/>
        <v>5.0000000000000001E-3</v>
      </c>
      <c r="AT34" s="41">
        <f t="shared" si="67"/>
        <v>5.0000000000000001E-3</v>
      </c>
      <c r="AU34" s="41">
        <f t="shared" si="67"/>
        <v>5.0000000000000001E-3</v>
      </c>
      <c r="AV34" s="41">
        <f t="shared" si="67"/>
        <v>5.0000000000000001E-3</v>
      </c>
      <c r="AW34" s="41">
        <f t="shared" si="67"/>
        <v>5.0000000000000001E-3</v>
      </c>
      <c r="AX34" s="41">
        <f t="shared" si="67"/>
        <v>5.0000000000000001E-3</v>
      </c>
      <c r="AY34" s="41">
        <f t="shared" si="67"/>
        <v>5.0000000000000001E-3</v>
      </c>
    </row>
    <row r="35" spans="3:51">
      <c r="C35" s="2" t="s">
        <v>22</v>
      </c>
      <c r="H35" s="11">
        <f t="shared" ref="H35:L35" si="68">H14/H$6</f>
        <v>0.09</v>
      </c>
      <c r="I35" s="11">
        <f t="shared" si="68"/>
        <v>0.09</v>
      </c>
      <c r="J35" s="11">
        <f t="shared" si="68"/>
        <v>0.09</v>
      </c>
      <c r="K35" s="11">
        <f t="shared" si="68"/>
        <v>0.09</v>
      </c>
      <c r="L35" s="24">
        <f t="shared" si="68"/>
        <v>0.09</v>
      </c>
      <c r="M35" s="43">
        <v>0.1</v>
      </c>
      <c r="N35" s="41">
        <f>M35</f>
        <v>0.1</v>
      </c>
      <c r="O35" s="41">
        <f t="shared" ref="O35:AY35" si="69">N35</f>
        <v>0.1</v>
      </c>
      <c r="P35" s="41">
        <f t="shared" si="69"/>
        <v>0.1</v>
      </c>
      <c r="Q35" s="41">
        <f t="shared" si="69"/>
        <v>0.1</v>
      </c>
      <c r="R35" s="41">
        <f t="shared" si="69"/>
        <v>0.1</v>
      </c>
      <c r="S35" s="41">
        <f t="shared" si="69"/>
        <v>0.1</v>
      </c>
      <c r="T35" s="41">
        <f t="shared" si="69"/>
        <v>0.1</v>
      </c>
      <c r="U35" s="41">
        <f t="shared" si="69"/>
        <v>0.1</v>
      </c>
      <c r="V35" s="41">
        <f t="shared" si="69"/>
        <v>0.1</v>
      </c>
      <c r="W35" s="41">
        <f t="shared" si="69"/>
        <v>0.1</v>
      </c>
      <c r="X35" s="41">
        <f t="shared" si="69"/>
        <v>0.1</v>
      </c>
      <c r="Y35" s="41">
        <f t="shared" si="69"/>
        <v>0.1</v>
      </c>
      <c r="Z35" s="41">
        <f t="shared" si="69"/>
        <v>0.1</v>
      </c>
      <c r="AA35" s="41">
        <f t="shared" si="69"/>
        <v>0.1</v>
      </c>
      <c r="AB35" s="41">
        <f t="shared" si="69"/>
        <v>0.1</v>
      </c>
      <c r="AC35" s="41">
        <f t="shared" si="69"/>
        <v>0.1</v>
      </c>
      <c r="AD35" s="41">
        <f t="shared" si="69"/>
        <v>0.1</v>
      </c>
      <c r="AE35" s="41">
        <f t="shared" si="69"/>
        <v>0.1</v>
      </c>
      <c r="AF35" s="41">
        <f t="shared" si="69"/>
        <v>0.1</v>
      </c>
      <c r="AG35" s="41">
        <f t="shared" si="69"/>
        <v>0.1</v>
      </c>
      <c r="AH35" s="41">
        <f t="shared" si="69"/>
        <v>0.1</v>
      </c>
      <c r="AI35" s="41">
        <f t="shared" si="69"/>
        <v>0.1</v>
      </c>
      <c r="AJ35" s="41">
        <f t="shared" si="69"/>
        <v>0.1</v>
      </c>
      <c r="AK35" s="41">
        <f t="shared" si="69"/>
        <v>0.1</v>
      </c>
      <c r="AL35" s="41">
        <f t="shared" si="69"/>
        <v>0.1</v>
      </c>
      <c r="AM35" s="41">
        <f t="shared" si="69"/>
        <v>0.1</v>
      </c>
      <c r="AN35" s="41">
        <f t="shared" si="69"/>
        <v>0.1</v>
      </c>
      <c r="AO35" s="41">
        <f t="shared" si="69"/>
        <v>0.1</v>
      </c>
      <c r="AP35" s="41">
        <f t="shared" si="69"/>
        <v>0.1</v>
      </c>
      <c r="AQ35" s="41">
        <f t="shared" si="69"/>
        <v>0.1</v>
      </c>
      <c r="AR35" s="41">
        <f t="shared" si="69"/>
        <v>0.1</v>
      </c>
      <c r="AS35" s="41">
        <f t="shared" si="69"/>
        <v>0.1</v>
      </c>
      <c r="AT35" s="41">
        <f t="shared" si="69"/>
        <v>0.1</v>
      </c>
      <c r="AU35" s="41">
        <f t="shared" si="69"/>
        <v>0.1</v>
      </c>
      <c r="AV35" s="41">
        <f t="shared" si="69"/>
        <v>0.1</v>
      </c>
      <c r="AW35" s="41">
        <f t="shared" si="69"/>
        <v>0.1</v>
      </c>
      <c r="AX35" s="41">
        <f t="shared" si="69"/>
        <v>0.1</v>
      </c>
      <c r="AY35" s="41">
        <f t="shared" si="69"/>
        <v>0.1</v>
      </c>
    </row>
    <row r="36" spans="3:51">
      <c r="C36" s="2" t="s">
        <v>23</v>
      </c>
      <c r="H36" s="11">
        <f t="shared" ref="H36:L36" si="70">H15/H$6</f>
        <v>2.4E-2</v>
      </c>
      <c r="I36" s="11">
        <f t="shared" si="70"/>
        <v>0.02</v>
      </c>
      <c r="J36" s="11">
        <f t="shared" si="70"/>
        <v>1.7142857142857144E-2</v>
      </c>
      <c r="K36" s="11">
        <f t="shared" si="70"/>
        <v>1.4999999999999999E-2</v>
      </c>
      <c r="L36" s="24">
        <f t="shared" si="70"/>
        <v>1.3333333333333334E-2</v>
      </c>
      <c r="M36" s="2" t="s">
        <v>28</v>
      </c>
    </row>
    <row r="37" spans="3:51">
      <c r="C37" s="2" t="s">
        <v>24</v>
      </c>
      <c r="H37" s="11">
        <f t="shared" ref="H37:L37" si="71">H16/H$6</f>
        <v>0.12</v>
      </c>
      <c r="I37" s="11">
        <f t="shared" si="71"/>
        <v>0.12</v>
      </c>
      <c r="J37" s="11">
        <f t="shared" si="71"/>
        <v>0.12</v>
      </c>
      <c r="K37" s="11">
        <f t="shared" si="71"/>
        <v>0.12</v>
      </c>
      <c r="L37" s="24">
        <f t="shared" si="71"/>
        <v>0.12</v>
      </c>
      <c r="M37" s="43">
        <v>0.12</v>
      </c>
      <c r="N37" s="41">
        <f>M37</f>
        <v>0.12</v>
      </c>
      <c r="O37" s="41">
        <f t="shared" ref="O37:AY37" si="72">N37</f>
        <v>0.12</v>
      </c>
      <c r="P37" s="41">
        <f t="shared" si="72"/>
        <v>0.12</v>
      </c>
      <c r="Q37" s="41">
        <f t="shared" si="72"/>
        <v>0.12</v>
      </c>
      <c r="R37" s="41">
        <f t="shared" si="72"/>
        <v>0.12</v>
      </c>
      <c r="S37" s="41">
        <f t="shared" si="72"/>
        <v>0.12</v>
      </c>
      <c r="T37" s="41">
        <f t="shared" si="72"/>
        <v>0.12</v>
      </c>
      <c r="U37" s="41">
        <f t="shared" si="72"/>
        <v>0.12</v>
      </c>
      <c r="V37" s="41">
        <f t="shared" si="72"/>
        <v>0.12</v>
      </c>
      <c r="W37" s="41">
        <f t="shared" si="72"/>
        <v>0.12</v>
      </c>
      <c r="X37" s="41">
        <f t="shared" si="72"/>
        <v>0.12</v>
      </c>
      <c r="Y37" s="41">
        <f t="shared" si="72"/>
        <v>0.12</v>
      </c>
      <c r="Z37" s="41">
        <f t="shared" si="72"/>
        <v>0.12</v>
      </c>
      <c r="AA37" s="41">
        <f t="shared" si="72"/>
        <v>0.12</v>
      </c>
      <c r="AB37" s="41">
        <f t="shared" si="72"/>
        <v>0.12</v>
      </c>
      <c r="AC37" s="41">
        <f t="shared" si="72"/>
        <v>0.12</v>
      </c>
      <c r="AD37" s="41">
        <f t="shared" si="72"/>
        <v>0.12</v>
      </c>
      <c r="AE37" s="41">
        <f t="shared" si="72"/>
        <v>0.12</v>
      </c>
      <c r="AF37" s="41">
        <f t="shared" si="72"/>
        <v>0.12</v>
      </c>
      <c r="AG37" s="41">
        <f t="shared" si="72"/>
        <v>0.12</v>
      </c>
      <c r="AH37" s="41">
        <f t="shared" si="72"/>
        <v>0.12</v>
      </c>
      <c r="AI37" s="41">
        <f t="shared" si="72"/>
        <v>0.12</v>
      </c>
      <c r="AJ37" s="41">
        <f t="shared" si="72"/>
        <v>0.12</v>
      </c>
      <c r="AK37" s="41">
        <f t="shared" si="72"/>
        <v>0.12</v>
      </c>
      <c r="AL37" s="41">
        <f t="shared" si="72"/>
        <v>0.12</v>
      </c>
      <c r="AM37" s="41">
        <f t="shared" si="72"/>
        <v>0.12</v>
      </c>
      <c r="AN37" s="41">
        <f t="shared" si="72"/>
        <v>0.12</v>
      </c>
      <c r="AO37" s="41">
        <f t="shared" si="72"/>
        <v>0.12</v>
      </c>
      <c r="AP37" s="41">
        <f t="shared" si="72"/>
        <v>0.12</v>
      </c>
      <c r="AQ37" s="41">
        <f t="shared" si="72"/>
        <v>0.12</v>
      </c>
      <c r="AR37" s="41">
        <f t="shared" si="72"/>
        <v>0.12</v>
      </c>
      <c r="AS37" s="41">
        <f t="shared" si="72"/>
        <v>0.12</v>
      </c>
      <c r="AT37" s="41">
        <f t="shared" si="72"/>
        <v>0.12</v>
      </c>
      <c r="AU37" s="41">
        <f t="shared" si="72"/>
        <v>0.12</v>
      </c>
      <c r="AV37" s="41">
        <f t="shared" si="72"/>
        <v>0.12</v>
      </c>
      <c r="AW37" s="41">
        <f t="shared" si="72"/>
        <v>0.12</v>
      </c>
      <c r="AX37" s="41">
        <f t="shared" si="72"/>
        <v>0.12</v>
      </c>
      <c r="AY37" s="41">
        <f t="shared" si="72"/>
        <v>0.12</v>
      </c>
    </row>
    <row r="38" spans="3:51">
      <c r="C38" s="2" t="s">
        <v>26</v>
      </c>
      <c r="H38" s="11">
        <f>H22/H20</f>
        <v>0.85106382978723416</v>
      </c>
      <c r="I38" s="11">
        <f t="shared" ref="I38:L38" si="73">I22/I6</f>
        <v>0.28000000000000003</v>
      </c>
      <c r="J38" s="11">
        <f t="shared" si="73"/>
        <v>0.28000000000000003</v>
      </c>
      <c r="K38" s="11">
        <f t="shared" si="73"/>
        <v>0.28000000000000003</v>
      </c>
      <c r="L38" s="24">
        <f t="shared" si="73"/>
        <v>0.28000000000000003</v>
      </c>
      <c r="M38" s="42">
        <v>0.25</v>
      </c>
      <c r="N38" s="40">
        <f>M38</f>
        <v>0.25</v>
      </c>
      <c r="O38" s="40">
        <f t="shared" ref="O38:AY38" si="74">N38</f>
        <v>0.25</v>
      </c>
      <c r="P38" s="40">
        <f t="shared" si="74"/>
        <v>0.25</v>
      </c>
      <c r="Q38" s="40">
        <f t="shared" si="74"/>
        <v>0.25</v>
      </c>
      <c r="R38" s="40">
        <f t="shared" si="74"/>
        <v>0.25</v>
      </c>
      <c r="S38" s="40">
        <f t="shared" si="74"/>
        <v>0.25</v>
      </c>
      <c r="T38" s="40">
        <f t="shared" si="74"/>
        <v>0.25</v>
      </c>
      <c r="U38" s="40">
        <f t="shared" si="74"/>
        <v>0.25</v>
      </c>
      <c r="V38" s="40">
        <f t="shared" si="74"/>
        <v>0.25</v>
      </c>
      <c r="W38" s="40">
        <f t="shared" si="74"/>
        <v>0.25</v>
      </c>
      <c r="X38" s="40">
        <f t="shared" si="74"/>
        <v>0.25</v>
      </c>
      <c r="Y38" s="40">
        <f t="shared" si="74"/>
        <v>0.25</v>
      </c>
      <c r="Z38" s="40">
        <f t="shared" si="74"/>
        <v>0.25</v>
      </c>
      <c r="AA38" s="40">
        <f t="shared" si="74"/>
        <v>0.25</v>
      </c>
      <c r="AB38" s="40">
        <f t="shared" si="74"/>
        <v>0.25</v>
      </c>
      <c r="AC38" s="40">
        <f t="shared" si="74"/>
        <v>0.25</v>
      </c>
      <c r="AD38" s="40">
        <f t="shared" si="74"/>
        <v>0.25</v>
      </c>
      <c r="AE38" s="40">
        <f t="shared" si="74"/>
        <v>0.25</v>
      </c>
      <c r="AF38" s="40">
        <f t="shared" si="74"/>
        <v>0.25</v>
      </c>
      <c r="AG38" s="40">
        <f t="shared" si="74"/>
        <v>0.25</v>
      </c>
      <c r="AH38" s="40">
        <f t="shared" si="74"/>
        <v>0.25</v>
      </c>
      <c r="AI38" s="40">
        <f t="shared" si="74"/>
        <v>0.25</v>
      </c>
      <c r="AJ38" s="40">
        <f t="shared" si="74"/>
        <v>0.25</v>
      </c>
      <c r="AK38" s="40">
        <f t="shared" si="74"/>
        <v>0.25</v>
      </c>
      <c r="AL38" s="40">
        <f t="shared" si="74"/>
        <v>0.25</v>
      </c>
      <c r="AM38" s="40">
        <f t="shared" si="74"/>
        <v>0.25</v>
      </c>
      <c r="AN38" s="40">
        <f t="shared" si="74"/>
        <v>0.25</v>
      </c>
      <c r="AO38" s="40">
        <f t="shared" si="74"/>
        <v>0.25</v>
      </c>
      <c r="AP38" s="40">
        <f t="shared" si="74"/>
        <v>0.25</v>
      </c>
      <c r="AQ38" s="40">
        <f t="shared" si="74"/>
        <v>0.25</v>
      </c>
      <c r="AR38" s="40">
        <f t="shared" si="74"/>
        <v>0.25</v>
      </c>
      <c r="AS38" s="40">
        <f t="shared" si="74"/>
        <v>0.25</v>
      </c>
      <c r="AT38" s="40">
        <f t="shared" si="74"/>
        <v>0.25</v>
      </c>
      <c r="AU38" s="40">
        <f t="shared" si="74"/>
        <v>0.25</v>
      </c>
      <c r="AV38" s="40">
        <f t="shared" si="74"/>
        <v>0.25</v>
      </c>
      <c r="AW38" s="40">
        <f t="shared" si="74"/>
        <v>0.25</v>
      </c>
      <c r="AX38" s="40">
        <f t="shared" si="74"/>
        <v>0.25</v>
      </c>
      <c r="AY38" s="40">
        <f t="shared" si="74"/>
        <v>0.25</v>
      </c>
    </row>
    <row r="39" spans="3:51">
      <c r="C39" s="2" t="s">
        <v>25</v>
      </c>
      <c r="H39" s="41">
        <v>0.01</v>
      </c>
      <c r="I39" s="41">
        <v>0.01</v>
      </c>
      <c r="J39" s="41">
        <v>0.01</v>
      </c>
      <c r="K39" s="41">
        <v>0.01</v>
      </c>
      <c r="L39" s="45">
        <v>0.01</v>
      </c>
      <c r="M39" s="42">
        <v>0.02</v>
      </c>
      <c r="N39" s="40">
        <f>M39</f>
        <v>0.02</v>
      </c>
      <c r="O39" s="40">
        <f t="shared" ref="O39:AY39" si="75">N39</f>
        <v>0.02</v>
      </c>
      <c r="P39" s="40">
        <f t="shared" si="75"/>
        <v>0.02</v>
      </c>
      <c r="Q39" s="40">
        <f t="shared" si="75"/>
        <v>0.02</v>
      </c>
      <c r="R39" s="40">
        <f t="shared" si="75"/>
        <v>0.02</v>
      </c>
      <c r="S39" s="40">
        <f t="shared" si="75"/>
        <v>0.02</v>
      </c>
      <c r="T39" s="40">
        <f t="shared" si="75"/>
        <v>0.02</v>
      </c>
      <c r="U39" s="40">
        <f t="shared" si="75"/>
        <v>0.02</v>
      </c>
      <c r="V39" s="40">
        <f t="shared" si="75"/>
        <v>0.02</v>
      </c>
      <c r="W39" s="40">
        <f t="shared" si="75"/>
        <v>0.02</v>
      </c>
      <c r="X39" s="40">
        <f t="shared" si="75"/>
        <v>0.02</v>
      </c>
      <c r="Y39" s="40">
        <f t="shared" si="75"/>
        <v>0.02</v>
      </c>
      <c r="Z39" s="40">
        <f t="shared" si="75"/>
        <v>0.02</v>
      </c>
      <c r="AA39" s="40">
        <f t="shared" si="75"/>
        <v>0.02</v>
      </c>
      <c r="AB39" s="40">
        <f t="shared" si="75"/>
        <v>0.02</v>
      </c>
      <c r="AC39" s="40">
        <f t="shared" si="75"/>
        <v>0.02</v>
      </c>
      <c r="AD39" s="40">
        <f t="shared" si="75"/>
        <v>0.02</v>
      </c>
      <c r="AE39" s="40">
        <f t="shared" si="75"/>
        <v>0.02</v>
      </c>
      <c r="AF39" s="40">
        <f t="shared" si="75"/>
        <v>0.02</v>
      </c>
      <c r="AG39" s="40">
        <f t="shared" si="75"/>
        <v>0.02</v>
      </c>
      <c r="AH39" s="40">
        <f t="shared" si="75"/>
        <v>0.02</v>
      </c>
      <c r="AI39" s="40">
        <f t="shared" si="75"/>
        <v>0.02</v>
      </c>
      <c r="AJ39" s="40">
        <f t="shared" si="75"/>
        <v>0.02</v>
      </c>
      <c r="AK39" s="40">
        <f t="shared" si="75"/>
        <v>0.02</v>
      </c>
      <c r="AL39" s="40">
        <f t="shared" si="75"/>
        <v>0.02</v>
      </c>
      <c r="AM39" s="40">
        <f t="shared" si="75"/>
        <v>0.02</v>
      </c>
      <c r="AN39" s="40">
        <f t="shared" si="75"/>
        <v>0.02</v>
      </c>
      <c r="AO39" s="40">
        <f t="shared" si="75"/>
        <v>0.02</v>
      </c>
      <c r="AP39" s="40">
        <f t="shared" si="75"/>
        <v>0.02</v>
      </c>
      <c r="AQ39" s="40">
        <f t="shared" si="75"/>
        <v>0.02</v>
      </c>
      <c r="AR39" s="40">
        <f t="shared" si="75"/>
        <v>0.02</v>
      </c>
      <c r="AS39" s="40">
        <f t="shared" si="75"/>
        <v>0.02</v>
      </c>
      <c r="AT39" s="40">
        <f t="shared" si="75"/>
        <v>0.02</v>
      </c>
      <c r="AU39" s="40">
        <f t="shared" si="75"/>
        <v>0.02</v>
      </c>
      <c r="AV39" s="40">
        <f t="shared" si="75"/>
        <v>0.02</v>
      </c>
      <c r="AW39" s="40">
        <f t="shared" si="75"/>
        <v>0.02</v>
      </c>
      <c r="AX39" s="40">
        <f t="shared" si="75"/>
        <v>0.02</v>
      </c>
      <c r="AY39" s="40">
        <f t="shared" si="75"/>
        <v>0.02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oToInputsTab">
                <anchor moveWithCells="1" sizeWithCells="1">
                  <from>
                    <xdr:col>0</xdr:col>
                    <xdr:colOff>393700</xdr:colOff>
                    <xdr:row>0</xdr:row>
                    <xdr:rowOff>114300</xdr:rowOff>
                  </from>
                  <to>
                    <xdr:col>3</xdr:col>
                    <xdr:colOff>215900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Inputs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Microsoft Office User</cp:lastModifiedBy>
  <cp:lastPrinted>2016-11-25T07:36:45Z</cp:lastPrinted>
  <dcterms:created xsi:type="dcterms:W3CDTF">2016-11-23T15:02:51Z</dcterms:created>
  <dcterms:modified xsi:type="dcterms:W3CDTF">2021-09-17T04:37:41Z</dcterms:modified>
</cp:coreProperties>
</file>